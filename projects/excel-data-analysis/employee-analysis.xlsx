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esktop\DAN_IT\Excel\"/>
    </mc:Choice>
  </mc:AlternateContent>
  <xr:revisionPtr revIDLastSave="0" documentId="13_ncr:1_{7B628FBF-65B4-401A-896F-0AC893F03A6D}" xr6:coauthVersionLast="45" xr6:coauthVersionMax="45" xr10:uidLastSave="{00000000-0000-0000-0000-000000000000}"/>
  <bookViews>
    <workbookView xWindow="-108" yWindow="-108" windowWidth="23256" windowHeight="12456" activeTab="2" xr2:uid="{00000000-000D-0000-FFFF-FFFF00000000}"/>
  </bookViews>
  <sheets>
    <sheet name="Main" sheetId="2" r:id="rId1"/>
    <sheet name="Відділи" sheetId="3" r:id="rId2"/>
    <sheet name="Аркуш1" sheetId="4" r:id="rId3"/>
  </sheets>
  <definedNames>
    <definedName name="_xlnm._FilterDatabase" localSheetId="0" hidden="1">Main!$C$17:$E$17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7" roundtripDataChecksum="qtuiw1gT33UHJfbncXb8XYFwU9Hwz9DfkudDjofZwYE="/>
    </ext>
  </extLst>
</workbook>
</file>

<file path=xl/calcChain.xml><?xml version="1.0" encoding="utf-8"?>
<calcChain xmlns="http://schemas.openxmlformats.org/spreadsheetml/2006/main">
  <c r="H18" i="2" l="1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P12" i="2" l="1"/>
  <c r="B13" i="4"/>
  <c r="P11" i="2"/>
  <c r="P10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8" i="2"/>
  <c r="P7" i="2"/>
  <c r="P6" i="2"/>
  <c r="P5" i="2"/>
  <c r="M117" i="2"/>
  <c r="M90" i="2"/>
  <c r="M76" i="2"/>
  <c r="M34" i="2"/>
  <c r="M63" i="2"/>
  <c r="M70" i="2"/>
  <c r="M47" i="2"/>
  <c r="M21" i="2"/>
  <c r="M96" i="2"/>
  <c r="M64" i="2"/>
  <c r="M112" i="2"/>
  <c r="M20" i="2"/>
  <c r="M45" i="2"/>
  <c r="M73" i="2"/>
  <c r="M107" i="2"/>
  <c r="M94" i="2"/>
  <c r="M31" i="2"/>
  <c r="M28" i="2"/>
  <c r="M42" i="2"/>
  <c r="M82" i="2"/>
  <c r="M79" i="2"/>
  <c r="M60" i="2"/>
  <c r="M81" i="2"/>
  <c r="M38" i="2"/>
  <c r="M59" i="2"/>
  <c r="M113" i="2"/>
  <c r="M101" i="2"/>
  <c r="M65" i="2"/>
  <c r="M41" i="2"/>
  <c r="M87" i="2"/>
  <c r="M85" i="2"/>
  <c r="M67" i="2"/>
  <c r="M55" i="2"/>
  <c r="M103" i="2"/>
  <c r="M27" i="2"/>
  <c r="M72" i="2"/>
  <c r="M114" i="2"/>
  <c r="M51" i="2"/>
  <c r="M33" i="2"/>
  <c r="M49" i="2"/>
  <c r="M54" i="2"/>
  <c r="M61" i="2"/>
  <c r="M30" i="2"/>
  <c r="M40" i="2"/>
  <c r="M23" i="2"/>
  <c r="M43" i="2"/>
  <c r="M19" i="2"/>
  <c r="M98" i="2"/>
  <c r="M111" i="2"/>
  <c r="M48" i="2"/>
  <c r="M100" i="2"/>
  <c r="M58" i="2"/>
  <c r="M52" i="2"/>
  <c r="M29" i="2"/>
  <c r="M116" i="2"/>
  <c r="M69" i="2"/>
  <c r="M91" i="2"/>
  <c r="M80" i="2"/>
  <c r="M104" i="2"/>
  <c r="M86" i="2"/>
  <c r="M22" i="2"/>
  <c r="M106" i="2"/>
  <c r="M71" i="2"/>
  <c r="M44" i="2"/>
  <c r="M68" i="2"/>
  <c r="M83" i="2"/>
  <c r="M89" i="2"/>
  <c r="M53" i="2"/>
  <c r="M95" i="2"/>
  <c r="M35" i="2"/>
  <c r="M88" i="2"/>
  <c r="M78" i="2"/>
  <c r="M39" i="2"/>
  <c r="M97" i="2"/>
  <c r="M46" i="2"/>
  <c r="M24" i="2"/>
  <c r="M75" i="2"/>
  <c r="M110" i="2"/>
  <c r="M102" i="2"/>
  <c r="M115" i="2"/>
  <c r="M109" i="2"/>
  <c r="M50" i="2"/>
  <c r="M25" i="2"/>
  <c r="M77" i="2"/>
  <c r="M66" i="2"/>
  <c r="M105" i="2"/>
  <c r="M99" i="2"/>
  <c r="M56" i="2"/>
  <c r="M84" i="2"/>
  <c r="M92" i="2"/>
  <c r="M57" i="2"/>
  <c r="M93" i="2"/>
  <c r="M36" i="2"/>
  <c r="M74" i="2"/>
  <c r="M62" i="2"/>
  <c r="M32" i="2"/>
  <c r="M108" i="2"/>
  <c r="M18" i="2"/>
  <c r="M37" i="2"/>
  <c r="M26" i="2"/>
  <c r="J26" i="2"/>
  <c r="I117" i="2"/>
  <c r="J117" i="2" s="1"/>
  <c r="I90" i="2"/>
  <c r="J90" i="2" s="1"/>
  <c r="I76" i="2"/>
  <c r="J76" i="2" s="1"/>
  <c r="I34" i="2"/>
  <c r="J34" i="2" s="1"/>
  <c r="I63" i="2"/>
  <c r="J63" i="2" s="1"/>
  <c r="I70" i="2"/>
  <c r="J70" i="2" s="1"/>
  <c r="I47" i="2"/>
  <c r="J47" i="2" s="1"/>
  <c r="I21" i="2"/>
  <c r="J21" i="2" s="1"/>
  <c r="I96" i="2"/>
  <c r="J96" i="2" s="1"/>
  <c r="I64" i="2"/>
  <c r="J64" i="2" s="1"/>
  <c r="I112" i="2"/>
  <c r="J112" i="2" s="1"/>
  <c r="I20" i="2"/>
  <c r="J20" i="2" s="1"/>
  <c r="I45" i="2"/>
  <c r="J45" i="2" s="1"/>
  <c r="I73" i="2"/>
  <c r="J73" i="2" s="1"/>
  <c r="I107" i="2"/>
  <c r="J107" i="2" s="1"/>
  <c r="I94" i="2"/>
  <c r="J94" i="2" s="1"/>
  <c r="I31" i="2"/>
  <c r="J31" i="2" s="1"/>
  <c r="I28" i="2"/>
  <c r="J28" i="2" s="1"/>
  <c r="I42" i="2"/>
  <c r="J42" i="2" s="1"/>
  <c r="I82" i="2"/>
  <c r="J82" i="2" s="1"/>
  <c r="I79" i="2"/>
  <c r="J79" i="2" s="1"/>
  <c r="I60" i="2"/>
  <c r="J60" i="2" s="1"/>
  <c r="I81" i="2"/>
  <c r="J81" i="2" s="1"/>
  <c r="I38" i="2"/>
  <c r="J38" i="2" s="1"/>
  <c r="I59" i="2"/>
  <c r="J59" i="2" s="1"/>
  <c r="I113" i="2"/>
  <c r="J113" i="2" s="1"/>
  <c r="I101" i="2"/>
  <c r="J101" i="2" s="1"/>
  <c r="I65" i="2"/>
  <c r="J65" i="2" s="1"/>
  <c r="I41" i="2"/>
  <c r="J41" i="2" s="1"/>
  <c r="I87" i="2"/>
  <c r="J87" i="2" s="1"/>
  <c r="I85" i="2"/>
  <c r="J85" i="2" s="1"/>
  <c r="I67" i="2"/>
  <c r="J67" i="2" s="1"/>
  <c r="I55" i="2"/>
  <c r="J55" i="2" s="1"/>
  <c r="I103" i="2"/>
  <c r="J103" i="2" s="1"/>
  <c r="I27" i="2"/>
  <c r="J27" i="2" s="1"/>
  <c r="I72" i="2"/>
  <c r="J72" i="2" s="1"/>
  <c r="I114" i="2"/>
  <c r="J114" i="2" s="1"/>
  <c r="I51" i="2"/>
  <c r="J51" i="2" s="1"/>
  <c r="I33" i="2"/>
  <c r="J33" i="2" s="1"/>
  <c r="I49" i="2"/>
  <c r="J49" i="2" s="1"/>
  <c r="I54" i="2"/>
  <c r="J54" i="2" s="1"/>
  <c r="I61" i="2"/>
  <c r="J61" i="2" s="1"/>
  <c r="I30" i="2"/>
  <c r="J30" i="2" s="1"/>
  <c r="I40" i="2"/>
  <c r="J40" i="2" s="1"/>
  <c r="I23" i="2"/>
  <c r="J23" i="2" s="1"/>
  <c r="I43" i="2"/>
  <c r="J43" i="2" s="1"/>
  <c r="I19" i="2"/>
  <c r="J19" i="2" s="1"/>
  <c r="I98" i="2"/>
  <c r="J98" i="2" s="1"/>
  <c r="I111" i="2"/>
  <c r="J111" i="2" s="1"/>
  <c r="I48" i="2"/>
  <c r="J48" i="2" s="1"/>
  <c r="I100" i="2"/>
  <c r="J100" i="2" s="1"/>
  <c r="I58" i="2"/>
  <c r="J58" i="2" s="1"/>
  <c r="I52" i="2"/>
  <c r="J52" i="2" s="1"/>
  <c r="I29" i="2"/>
  <c r="J29" i="2" s="1"/>
  <c r="I116" i="2"/>
  <c r="J116" i="2" s="1"/>
  <c r="I69" i="2"/>
  <c r="J69" i="2" s="1"/>
  <c r="I91" i="2"/>
  <c r="J91" i="2" s="1"/>
  <c r="I80" i="2"/>
  <c r="J80" i="2" s="1"/>
  <c r="I104" i="2"/>
  <c r="J104" i="2" s="1"/>
  <c r="I86" i="2"/>
  <c r="J86" i="2" s="1"/>
  <c r="I22" i="2"/>
  <c r="J22" i="2" s="1"/>
  <c r="I106" i="2"/>
  <c r="J106" i="2" s="1"/>
  <c r="I71" i="2"/>
  <c r="J71" i="2" s="1"/>
  <c r="I44" i="2"/>
  <c r="J44" i="2" s="1"/>
  <c r="I68" i="2"/>
  <c r="J68" i="2" s="1"/>
  <c r="I83" i="2"/>
  <c r="J83" i="2" s="1"/>
  <c r="I89" i="2"/>
  <c r="J89" i="2" s="1"/>
  <c r="I53" i="2"/>
  <c r="J53" i="2" s="1"/>
  <c r="I95" i="2"/>
  <c r="J95" i="2" s="1"/>
  <c r="I35" i="2"/>
  <c r="J35" i="2" s="1"/>
  <c r="I88" i="2"/>
  <c r="J88" i="2" s="1"/>
  <c r="I78" i="2"/>
  <c r="J78" i="2" s="1"/>
  <c r="I39" i="2"/>
  <c r="J39" i="2" s="1"/>
  <c r="I97" i="2"/>
  <c r="J97" i="2" s="1"/>
  <c r="I46" i="2"/>
  <c r="J46" i="2" s="1"/>
  <c r="I24" i="2"/>
  <c r="J24" i="2" s="1"/>
  <c r="I75" i="2"/>
  <c r="J75" i="2" s="1"/>
  <c r="I110" i="2"/>
  <c r="J110" i="2" s="1"/>
  <c r="I102" i="2"/>
  <c r="J102" i="2" s="1"/>
  <c r="I115" i="2"/>
  <c r="J115" i="2" s="1"/>
  <c r="I109" i="2"/>
  <c r="J109" i="2" s="1"/>
  <c r="I50" i="2"/>
  <c r="J50" i="2" s="1"/>
  <c r="I25" i="2"/>
  <c r="J25" i="2" s="1"/>
  <c r="I77" i="2"/>
  <c r="J77" i="2" s="1"/>
  <c r="I66" i="2"/>
  <c r="J66" i="2" s="1"/>
  <c r="I105" i="2"/>
  <c r="J105" i="2" s="1"/>
  <c r="I99" i="2"/>
  <c r="J99" i="2" s="1"/>
  <c r="I56" i="2"/>
  <c r="J56" i="2" s="1"/>
  <c r="I84" i="2"/>
  <c r="J84" i="2" s="1"/>
  <c r="I92" i="2"/>
  <c r="J92" i="2" s="1"/>
  <c r="I57" i="2"/>
  <c r="J57" i="2" s="1"/>
  <c r="I93" i="2"/>
  <c r="J93" i="2" s="1"/>
  <c r="I36" i="2"/>
  <c r="J36" i="2" s="1"/>
  <c r="I74" i="2"/>
  <c r="J74" i="2" s="1"/>
  <c r="I62" i="2"/>
  <c r="J62" i="2" s="1"/>
  <c r="I32" i="2"/>
  <c r="J32" i="2" s="1"/>
  <c r="I108" i="2"/>
  <c r="J108" i="2" s="1"/>
  <c r="I18" i="2"/>
  <c r="J18" i="2" s="1"/>
  <c r="I37" i="2"/>
  <c r="J37" i="2" s="1"/>
  <c r="I26" i="2"/>
  <c r="G117" i="2"/>
  <c r="G90" i="2"/>
  <c r="G76" i="2"/>
  <c r="G34" i="2"/>
  <c r="G63" i="2"/>
  <c r="G70" i="2"/>
  <c r="G47" i="2"/>
  <c r="G21" i="2"/>
  <c r="G96" i="2"/>
  <c r="G64" i="2"/>
  <c r="G112" i="2"/>
  <c r="G20" i="2"/>
  <c r="G45" i="2"/>
  <c r="G73" i="2"/>
  <c r="G107" i="2"/>
  <c r="G94" i="2"/>
  <c r="G31" i="2"/>
  <c r="G28" i="2"/>
  <c r="G42" i="2"/>
  <c r="G82" i="2"/>
  <c r="G79" i="2"/>
  <c r="G60" i="2"/>
  <c r="G81" i="2"/>
  <c r="G38" i="2"/>
  <c r="G59" i="2"/>
  <c r="G113" i="2"/>
  <c r="G101" i="2"/>
  <c r="G65" i="2"/>
  <c r="G41" i="2"/>
  <c r="G87" i="2"/>
  <c r="G85" i="2"/>
  <c r="G67" i="2"/>
  <c r="G55" i="2"/>
  <c r="G103" i="2"/>
  <c r="G27" i="2"/>
  <c r="G72" i="2"/>
  <c r="G114" i="2"/>
  <c r="G51" i="2"/>
  <c r="G33" i="2"/>
  <c r="G49" i="2"/>
  <c r="G54" i="2"/>
  <c r="G61" i="2"/>
  <c r="G30" i="2"/>
  <c r="G40" i="2"/>
  <c r="G23" i="2"/>
  <c r="G43" i="2"/>
  <c r="G19" i="2"/>
  <c r="G98" i="2"/>
  <c r="G111" i="2"/>
  <c r="G48" i="2"/>
  <c r="G100" i="2"/>
  <c r="G58" i="2"/>
  <c r="G52" i="2"/>
  <c r="G29" i="2"/>
  <c r="G116" i="2"/>
  <c r="G69" i="2"/>
  <c r="G91" i="2"/>
  <c r="G80" i="2"/>
  <c r="G104" i="2"/>
  <c r="G86" i="2"/>
  <c r="G22" i="2"/>
  <c r="G106" i="2"/>
  <c r="G71" i="2"/>
  <c r="G44" i="2"/>
  <c r="G68" i="2"/>
  <c r="G83" i="2"/>
  <c r="G89" i="2"/>
  <c r="G53" i="2"/>
  <c r="G95" i="2"/>
  <c r="G35" i="2"/>
  <c r="G88" i="2"/>
  <c r="G78" i="2"/>
  <c r="G39" i="2"/>
  <c r="G97" i="2"/>
  <c r="G46" i="2"/>
  <c r="G24" i="2"/>
  <c r="G75" i="2"/>
  <c r="G110" i="2"/>
  <c r="G102" i="2"/>
  <c r="G115" i="2"/>
  <c r="G109" i="2"/>
  <c r="G50" i="2"/>
  <c r="G25" i="2"/>
  <c r="G77" i="2"/>
  <c r="G66" i="2"/>
  <c r="G105" i="2"/>
  <c r="G99" i="2"/>
  <c r="G56" i="2"/>
  <c r="G84" i="2"/>
  <c r="G92" i="2"/>
  <c r="G57" i="2"/>
  <c r="G93" i="2"/>
  <c r="G36" i="2"/>
  <c r="G74" i="2"/>
  <c r="G62" i="2"/>
  <c r="G32" i="2"/>
  <c r="G108" i="2"/>
  <c r="G18" i="2"/>
  <c r="P9" i="2" s="1"/>
  <c r="G37" i="2"/>
  <c r="G26" i="2"/>
  <c r="P8" i="2" l="1"/>
</calcChain>
</file>

<file path=xl/sharedStrings.xml><?xml version="1.0" encoding="utf-8"?>
<sst xmlns="http://schemas.openxmlformats.org/spreadsheetml/2006/main" count="609" uniqueCount="362">
  <si>
    <t>Завдання. (у першому рядку приклад для заповнення)</t>
  </si>
  <si>
    <t>1. Перенесіть у стовпці D та E імена та по батькові співробітників зі стовпця C, у стовпці C залиште лише прізвище.</t>
  </si>
  <si>
    <t>Таблиця 2.</t>
  </si>
  <si>
    <t>2. У стовпці G вкажіть гендерну приналежність працівників.</t>
  </si>
  <si>
    <t>№</t>
  </si>
  <si>
    <t>Показник</t>
  </si>
  <si>
    <t>Значення</t>
  </si>
  <si>
    <t>3. У стовпці H вкажіть вік працівників на дату прийому на роботу (кількість повних років).</t>
  </si>
  <si>
    <t>Кількість працюючих на дату звіту</t>
  </si>
  <si>
    <t>4. У стовпці I вкажіть, чи досяг працівник пенсійного віку на момент прийому на роботу, якщо пенсійний вік становить 60 років.</t>
  </si>
  <si>
    <t>Кількість звільнених на дату звіту</t>
  </si>
  <si>
    <t>5. Заповніть стовпець L; якщо в стовпці K дата звільнення відсутня, то розрахуйте стаж на дату звіту (клітинка F14).</t>
  </si>
  <si>
    <t>Середній вік звільнених</t>
  </si>
  <si>
    <t>6. Налаштуйте сортування Таблиці 1 за Відділом, Прізвищем.</t>
  </si>
  <si>
    <t>Працівників якої статі більше звільнили</t>
  </si>
  <si>
    <t>7. Додайте стовпець "Відділ", в який додайте відповідні значення для кожного співробітника з аркуша "Відділи".</t>
  </si>
  <si>
    <t>Кількість співробітників із прізвищем, яке починається на "Р"</t>
  </si>
  <si>
    <t>8. Заповніть в Таблиці 2 стовпець "Значення" за допомогою формул.</t>
  </si>
  <si>
    <t>Кількість причин звільнення</t>
  </si>
  <si>
    <t>Найчастіша причина звільнення</t>
  </si>
  <si>
    <t>Таблиця 1. Звіт про стаж роботи співробітників, в тому числі звільнених на</t>
  </si>
  <si>
    <t>ПІБ співробітника</t>
  </si>
  <si>
    <t>Дата народження</t>
  </si>
  <si>
    <t>Стать</t>
  </si>
  <si>
    <t>Вік на момент прийому на роботу</t>
  </si>
  <si>
    <t>Пенсійний вік</t>
  </si>
  <si>
    <t>Дата прийому на роботу</t>
  </si>
  <si>
    <t>Дата звільнення</t>
  </si>
  <si>
    <t>Стаж</t>
  </si>
  <si>
    <t>Причина звільнення</t>
  </si>
  <si>
    <t>Прізвище</t>
  </si>
  <si>
    <t>Ім'я</t>
  </si>
  <si>
    <t>По батькові</t>
  </si>
  <si>
    <t>Мельник</t>
  </si>
  <si>
    <t>Андрій</t>
  </si>
  <si>
    <t>Андрійович</t>
  </si>
  <si>
    <t>ШЕВЧЕНКО ТАРАС ГРИГОРОВИЧ</t>
  </si>
  <si>
    <t>за згодою сторін</t>
  </si>
  <si>
    <t>КОВАЛЕНКО АННА МИКОЛАЇВНА</t>
  </si>
  <si>
    <t>за власним бажанням</t>
  </si>
  <si>
    <t>БОНДАРЕНКО ОЛЕНА АНАТОЛІЇВНА</t>
  </si>
  <si>
    <t>БОЙКО ЮРІЙ АНАТОЛІЙОВИЧ</t>
  </si>
  <si>
    <t>ТКАЧЕНКО ОЛЕКСАНДР МИКОЛАЙОВИЧ</t>
  </si>
  <si>
    <t>КРАВЧЕНКО ВІКТОР АНДРІЙОВИЧ</t>
  </si>
  <si>
    <t>КОВАЛЬЧУК КИРИЛО СЕРГІЙОВИЧ</t>
  </si>
  <si>
    <t>не відповідність</t>
  </si>
  <si>
    <t>КОВАЛЬ ОЛЕКСАНДР ІВАНОВИЧ</t>
  </si>
  <si>
    <t>ОЛІЙНИК БОРИС ІЛЛІЧ</t>
  </si>
  <si>
    <t>ШЕВЧУК СВЯТОСЛАВ ЮРІЙОВИЧ</t>
  </si>
  <si>
    <t>ПОЛІЩУК КАТЕРИНА ОЛЕКСАНДРІВНА</t>
  </si>
  <si>
    <t>ІВАНОВА АНТОНІНА МИКОЛАЇВНА</t>
  </si>
  <si>
    <t>ТКАЧУК ГЕННАДІЙ ВІТАЛІЙОВИЧ</t>
  </si>
  <si>
    <t>САВЧЕНКО НАДІЯ ВІКТОРІВНА</t>
  </si>
  <si>
    <t>БОНДАР ВІКТОР ВАСИЛЬОВИЧ</t>
  </si>
  <si>
    <t>МАРЧЕНКО ОКСАНА МИХАЙЛІВНА</t>
  </si>
  <si>
    <t>РУДЕНКО БЕЛА АНДРІЇВНА</t>
  </si>
  <si>
    <t>завершення трудового договору</t>
  </si>
  <si>
    <t>МОРОЗ ОЛЕКСАНДР ОЛЕКСАНДРОВИЧ</t>
  </si>
  <si>
    <t>ЛИСЕНКО МИКОЛА ВІТАЛІЙОВИЧ</t>
  </si>
  <si>
    <t>ПЕТРЕНКО МИХАЙЛО МИКОЛАЙОВИЧ</t>
  </si>
  <si>
    <t>скорочення штату</t>
  </si>
  <si>
    <t>КЛИМЕНКО ОЛЕКСАНДР ВІКТОРОВИЧ</t>
  </si>
  <si>
    <t>ПАВЛЕНКО ВІКТОР ОЛЕКСІЙОВИЧ</t>
  </si>
  <si>
    <t>КРАВЧУК ЛЕОНІД МАКАРОВИЧ</t>
  </si>
  <si>
    <t>ІВАНОВ МИКОЛА КУЗЬМИЧ</t>
  </si>
  <si>
    <t>КУЗЬМЕНКО ЮЛІЯ ЛЕОНІДІВНА</t>
  </si>
  <si>
    <t>ПОНОМАРЕНКО ЄВГЕН ПОРФИРОВИЧ</t>
  </si>
  <si>
    <t>САВЧУК ОЛЬГА МИКОЛАЇВНА</t>
  </si>
  <si>
    <t>ВАСИЛЕНКО МИКОЛА ПРОКОПОВИЧ</t>
  </si>
  <si>
    <t>ЛЕВЧЕНКО ЮЛІЯ АНДРІЇВНА</t>
  </si>
  <si>
    <t>ХАРЧЕНКО МАРІЯ ФЕДОРІВНА</t>
  </si>
  <si>
    <t>СИДОРЕНКО ВІКТОР ДМИТРОВИЧ</t>
  </si>
  <si>
    <t>КАРПЕНКО ВІТАЛІЙ ОПАНАСОВИЧ</t>
  </si>
  <si>
    <t>ГАВРИЛЮК МИХАЙЛО ВІТАЛІЙОВИЧ</t>
  </si>
  <si>
    <t>ШВЕЦЬ ОЛЬГА МИКОЛАЇВНА</t>
  </si>
  <si>
    <t>МЕЛЬНИЧУК ЛЮДМИЛА ОЛЕКСАНДРІВНА</t>
  </si>
  <si>
    <t>порушення трудового договору</t>
  </si>
  <si>
    <t>ПОПОВА НАДІЯ МАРКІВНА</t>
  </si>
  <si>
    <t>РОМАНЮК ВОЛОДИМИР ОМЕЛЯНОВИЧ</t>
  </si>
  <si>
    <t>ПАНЧЕНКО ЛЮБОВ МИХАЙЛІВНА</t>
  </si>
  <si>
    <t>ЮРЧЕНКО АНАТОЛІЙ ПЕТРОВИЧ</t>
  </si>
  <si>
    <t>МАЗУР АЛЛА ГРИГОРІВНА</t>
  </si>
  <si>
    <t>ХОМЕНКО МИКОЛА ГРИГОРОВИЧ</t>
  </si>
  <si>
    <t>ПОПОВИЧ ПАВЛО РОМАНОВИЧ</t>
  </si>
  <si>
    <t>ПАВЛЮК ПАВЛО МИХНОВИЧ</t>
  </si>
  <si>
    <t>КУШНІР ІГОР МИКОЛАЙОВИЧ</t>
  </si>
  <si>
    <t>ЛИТВИНЕНКО МАРІЯ ІВАНІВНА</t>
  </si>
  <si>
    <t>МАРТИНЮК АДАМ ІВАНОВИЧ</t>
  </si>
  <si>
    <t>ГОНЧАРЕНКО НІНА ІВАНІВНА</t>
  </si>
  <si>
    <t>ПРИХОДЬКО АНАСТАСІЯ КОСТЯНТИНІВНА</t>
  </si>
  <si>
    <t>КОСТЕНКО ЛІНА ВАСИЛІВНА</t>
  </si>
  <si>
    <t>КУЛИК ГРИГОРІЙ ІВАНОВИЧ</t>
  </si>
  <si>
    <t>РОМАНЕНКО ВІКТОР ДМИТРОВИЧ</t>
  </si>
  <si>
    <t>КОСТЮК МАРТА ОЛЕГІВНА</t>
  </si>
  <si>
    <t>СЕМЕНЮК ВАЛЕНТИНА ПЕТРІВНА</t>
  </si>
  <si>
    <t>НАЗАРЕНКО СЕРГІЙ ЮРІЙОВИЧ</t>
  </si>
  <si>
    <t>ТКАЧ МИХАЙЛО МИКОЛАЙОВИЧ</t>
  </si>
  <si>
    <t>КРАВЕЦЬ ІНЕСА МИКОЛАЇВНА</t>
  </si>
  <si>
    <t>КОЛОМІЄЦЬ ВОЛОДИМИР РОДІОНОВИЧ</t>
  </si>
  <si>
    <t>КОЗАК ТАРАС РОМАНОВИЧ</t>
  </si>
  <si>
    <t>ЯКОВЕНКО ПАВЛО ОЛЕКСАНДРОВИЧ</t>
  </si>
  <si>
    <t>ФЕДОРЕНКО БОРИС МИХАЙЛОВИЧ</t>
  </si>
  <si>
    <t>КОВТУН ІЛЛЯ ЮРІЙОВИЧ</t>
  </si>
  <si>
    <t>БІЛОУС ДМИТРО ГРИГОРОВИЧ</t>
  </si>
  <si>
    <t>НЕСТЕРЕНКО ОЛЕКСАНДР ВОЛОДИМИРОВИЧ</t>
  </si>
  <si>
    <t>ТЕРЕЩЕНКО МИХАЙЛО ІВАНОВИЧ</t>
  </si>
  <si>
    <t>КОЛЕСНИК ЄВДОКІЯ ВАСИЛІВНА</t>
  </si>
  <si>
    <t>ПОПОВ ЛЕОНІД ІВАНОВИЧ</t>
  </si>
  <si>
    <t>ЗІНЧЕНКО ОЛЕКСАНДР ВОЛОДИМИРОВИЧ</t>
  </si>
  <si>
    <t>ТАРАСЕНКО КАТЕРИНА МИКОЛАЇВНА</t>
  </si>
  <si>
    <t>МІЩЕНКО ЮЛІЯ ВАЛЕРІЇВНА</t>
  </si>
  <si>
    <t>ВОВК ФЕДІР КІНДРАТОВИЧ</t>
  </si>
  <si>
    <t>ДЕМЧЕНКО ТЕТЯНА ВАСИЛІВНА</t>
  </si>
  <si>
    <t>ДЯЧЕНКО АНАТОЛІЙ МИКОЛАЙОВИЧ</t>
  </si>
  <si>
    <t>КОВАЛЬОВА ІРИНА ФЕДОРІВНА</t>
  </si>
  <si>
    <t>ПИЛИПЕНКО ЮЛІЯ ВІКТОРІВНА</t>
  </si>
  <si>
    <t>ІЩЕНКО МИХАЙЛО ОЛЕКСІЙОВИЧ</t>
  </si>
  <si>
    <t>МАКАРЕНКО АНТОН СЕМЕНОВИЧ</t>
  </si>
  <si>
    <t>БАБЕНКО МИКОЛА АНДРІЙОВИЧ</t>
  </si>
  <si>
    <t>КИРИЧЕНКО РАЇСА ОПАНАСІВНА</t>
  </si>
  <si>
    <t>ТИЩЕНКО МИКОЛА МИКОЛАЙОВИЧ</t>
  </si>
  <si>
    <t>ТИМОШЕНКО ЮЛІЯ ВОЛОДИМИРІВНА</t>
  </si>
  <si>
    <t>ЖУК СЕРГІЙ ЯКОВИЧ</t>
  </si>
  <si>
    <t>МОСКАЛЕНКО ЛАРИСА ВІТАЛІЇВНА</t>
  </si>
  <si>
    <t>МАРЧУК ЄВГЕН КИРИЛОВИЧ</t>
  </si>
  <si>
    <t>ВЛАСЕНКО СЕРГІЙ ВОЛОДИМИРОВИЧ</t>
  </si>
  <si>
    <t>ГУМЕНЮК НАТАЛІЯ ПЕТРІВНА</t>
  </si>
  <si>
    <t>ЯЦЕНКО ТАМАРА ОЛЕКСАНДРІВНА</t>
  </si>
  <si>
    <t>РАДЧЕНКО ВОЛОДИМИР ІВАНОВИЧ</t>
  </si>
  <si>
    <t>ГЕРАСИМЕНКО СВІТЛАНА ІВАНІВНА</t>
  </si>
  <si>
    <t>СЕРГІЄНКО РАЇСА МИХАЙЛІВНА</t>
  </si>
  <si>
    <t>КОРНІЄНКО ОЛЕКСАНДР СЕРГІЙОВИЧ</t>
  </si>
  <si>
    <t>ГОНЧАР ОЛЕСЬ ТЕРЕНТІЙОВИЧ</t>
  </si>
  <si>
    <t>МАРТИНЕНКО МИКОЛА ВОЛОДИМИРОВИЧ</t>
  </si>
  <si>
    <t>ГОРДІЄНКО НАТАЛІЯ ВОЛОДИМИРІВНА</t>
  </si>
  <si>
    <t>СТЕПАНЕНКО ТАРАС МИКОЛАЙОВИЧ</t>
  </si>
  <si>
    <t>ПРОКОПЕНКО ДЕНИС ГЕННАДІЙОВИЧ</t>
  </si>
  <si>
    <t>ШУЛЬГА АНАСТАСІЯ ОЛЕКСАНДРІВНА</t>
  </si>
  <si>
    <t>ВОЛОШИН АВГУСТИН ІВАНОВИЧ</t>
  </si>
  <si>
    <t>ВЕЛИЧКО САМІЙЛО ВАСИЛЬОВИЧ</t>
  </si>
  <si>
    <t>ДЕНИСЕНКО ЛАРИСА ВОЛОДИМИРІВНА</t>
  </si>
  <si>
    <t>Співробітник</t>
  </si>
  <si>
    <t>Відділ</t>
  </si>
  <si>
    <t>МЕЛЬНИК АНДРІЙ АНДРІЙОВИЧ</t>
  </si>
  <si>
    <t>Бухгалтерія</t>
  </si>
  <si>
    <t>Юридичний відділ</t>
  </si>
  <si>
    <t>Фінансовий відділ</t>
  </si>
  <si>
    <t>Маркетинговий відділ</t>
  </si>
  <si>
    <t>Відділ збуту</t>
  </si>
  <si>
    <t>Господарський відділ</t>
  </si>
  <si>
    <t>Дирекція</t>
  </si>
  <si>
    <t>Відділ кадрів</t>
  </si>
  <si>
    <t>ШЕВЧЕНКО</t>
  </si>
  <si>
    <t>ТАРАС</t>
  </si>
  <si>
    <t>ГРИГОРОВИЧ</t>
  </si>
  <si>
    <t>КОВАЛЕНКО</t>
  </si>
  <si>
    <t>АННА</t>
  </si>
  <si>
    <t>МИКОЛАЇВНА</t>
  </si>
  <si>
    <t>БОНДАРЕНКО</t>
  </si>
  <si>
    <t>ОЛЕНА</t>
  </si>
  <si>
    <t>АНАТОЛІЇВНА</t>
  </si>
  <si>
    <t>БОЙКО</t>
  </si>
  <si>
    <t>ЮРІЙ</t>
  </si>
  <si>
    <t>АНАТОЛІЙОВИЧ</t>
  </si>
  <si>
    <t>ТКАЧЕНКО</t>
  </si>
  <si>
    <t>ОЛЕКСАНДР</t>
  </si>
  <si>
    <t>МИКОЛАЙОВИЧ</t>
  </si>
  <si>
    <t>КРАВЧЕНКО</t>
  </si>
  <si>
    <t>ВІКТОР</t>
  </si>
  <si>
    <t>АНДРІЙОВИЧ</t>
  </si>
  <si>
    <t>КОВАЛЬЧУК</t>
  </si>
  <si>
    <t>КИРИЛО</t>
  </si>
  <si>
    <t>СЕРГІЙОВИЧ</t>
  </si>
  <si>
    <t>КОВАЛЬ</t>
  </si>
  <si>
    <t>ІВАНОВИЧ</t>
  </si>
  <si>
    <t>ОЛІЙНИК</t>
  </si>
  <si>
    <t>БОРИС</t>
  </si>
  <si>
    <t>ІЛЛІЧ</t>
  </si>
  <si>
    <t>ШЕВЧУК</t>
  </si>
  <si>
    <t>СВЯТОСЛАВ</t>
  </si>
  <si>
    <t>ЮРІЙОВИЧ</t>
  </si>
  <si>
    <t>ПОЛІЩУК</t>
  </si>
  <si>
    <t>КАТЕРИНА</t>
  </si>
  <si>
    <t>ОЛЕКСАНДРІВНА</t>
  </si>
  <si>
    <t>ІВАНОВА</t>
  </si>
  <si>
    <t>АНТОНІНА</t>
  </si>
  <si>
    <t>ТКАЧУК</t>
  </si>
  <si>
    <t>ГЕННАДІЙ</t>
  </si>
  <si>
    <t>ВІТАЛІЙОВИЧ</t>
  </si>
  <si>
    <t>САВЧЕНКО</t>
  </si>
  <si>
    <t>НАДІЯ</t>
  </si>
  <si>
    <t>ВІКТОРІВНА</t>
  </si>
  <si>
    <t>БОНДАР</t>
  </si>
  <si>
    <t>ВАСИЛЬОВИЧ</t>
  </si>
  <si>
    <t>МАРЧЕНКО</t>
  </si>
  <si>
    <t>ОКСАНА</t>
  </si>
  <si>
    <t>МИХАЙЛІВНА</t>
  </si>
  <si>
    <t>РУДЕНКО</t>
  </si>
  <si>
    <t>БЕЛА</t>
  </si>
  <si>
    <t>АНДРІЇВНА</t>
  </si>
  <si>
    <t>МОРОЗ</t>
  </si>
  <si>
    <t>ОЛЕКСАНДРОВИЧ</t>
  </si>
  <si>
    <t>ЛИСЕНКО</t>
  </si>
  <si>
    <t>МИКОЛА</t>
  </si>
  <si>
    <t>ПЕТРЕНКО</t>
  </si>
  <si>
    <t>МИХАЙЛО</t>
  </si>
  <si>
    <t>КЛИМЕНКО</t>
  </si>
  <si>
    <t>ВІКТОРОВИЧ</t>
  </si>
  <si>
    <t>ПАВЛЕНКО</t>
  </si>
  <si>
    <t>ОЛЕКСІЙОВИЧ</t>
  </si>
  <si>
    <t>КРАВЧУК</t>
  </si>
  <si>
    <t>ЛЕОНІД</t>
  </si>
  <si>
    <t>МАКАРОВИЧ</t>
  </si>
  <si>
    <t>ІВАНОВ</t>
  </si>
  <si>
    <t>КУЗЬМИЧ</t>
  </si>
  <si>
    <t>КУЗЬМЕНКО</t>
  </si>
  <si>
    <t>ЮЛІЯ</t>
  </si>
  <si>
    <t>ЛЕОНІДІВНА</t>
  </si>
  <si>
    <t>ПОНОМАРЕНКО</t>
  </si>
  <si>
    <t>ЄВГЕН</t>
  </si>
  <si>
    <t>ПОРФИРОВИЧ</t>
  </si>
  <si>
    <t>САВЧУК</t>
  </si>
  <si>
    <t>ОЛЬГА</t>
  </si>
  <si>
    <t>ВАСИЛЕНКО</t>
  </si>
  <si>
    <t>ПРОКОПОВИЧ</t>
  </si>
  <si>
    <t>ЛЕВЧЕНКО</t>
  </si>
  <si>
    <t>ХАРЧЕНКО</t>
  </si>
  <si>
    <t>МАРІЯ</t>
  </si>
  <si>
    <t>ФЕДОРІВНА</t>
  </si>
  <si>
    <t>СИДОРЕНКО</t>
  </si>
  <si>
    <t>ДМИТРОВИЧ</t>
  </si>
  <si>
    <t>КАРПЕНКО</t>
  </si>
  <si>
    <t>ВІТАЛІЙ</t>
  </si>
  <si>
    <t>ОПАНАСОВИЧ</t>
  </si>
  <si>
    <t>ГАВРИЛЮК</t>
  </si>
  <si>
    <t>ШВЕЦЬ</t>
  </si>
  <si>
    <t>МЕЛЬНИЧУК</t>
  </si>
  <si>
    <t>ЛЮДМИЛА</t>
  </si>
  <si>
    <t>ПОПОВА</t>
  </si>
  <si>
    <t>МАРКІВНА</t>
  </si>
  <si>
    <t>РОМАНЮК</t>
  </si>
  <si>
    <t>ВОЛОДИМИР</t>
  </si>
  <si>
    <t>ОМЕЛЯНОВИЧ</t>
  </si>
  <si>
    <t>ПАНЧЕНКО</t>
  </si>
  <si>
    <t>ЛЮБОВ</t>
  </si>
  <si>
    <t>ЮРЧЕНКО</t>
  </si>
  <si>
    <t>АНАТОЛІЙ</t>
  </si>
  <si>
    <t>ПЕТРОВИЧ</t>
  </si>
  <si>
    <t>МАЗУР</t>
  </si>
  <si>
    <t>АЛЛА</t>
  </si>
  <si>
    <t>ГРИГОРІВНА</t>
  </si>
  <si>
    <t>ХОМЕНКО</t>
  </si>
  <si>
    <t>ПОПОВИЧ</t>
  </si>
  <si>
    <t>ПАВЛО</t>
  </si>
  <si>
    <t>РОМАНОВИЧ</t>
  </si>
  <si>
    <t>ПАВЛЮК</t>
  </si>
  <si>
    <t>МИХНОВИЧ</t>
  </si>
  <si>
    <t>КУШНІР</t>
  </si>
  <si>
    <t>ІГОР</t>
  </si>
  <si>
    <t>ЛИТВИНЕНКО</t>
  </si>
  <si>
    <t>ІВАНІВНА</t>
  </si>
  <si>
    <t>МАРТИНЮК</t>
  </si>
  <si>
    <t>АДАМ</t>
  </si>
  <si>
    <t>ГОНЧАРЕНКО</t>
  </si>
  <si>
    <t>НІНА</t>
  </si>
  <si>
    <t>ПРИХОДЬКО</t>
  </si>
  <si>
    <t>АНАСТАСІЯ</t>
  </si>
  <si>
    <t>КОСТЯНТИНІВНА</t>
  </si>
  <si>
    <t>КОСТЕНКО</t>
  </si>
  <si>
    <t>ЛІНА</t>
  </si>
  <si>
    <t>ВАСИЛІВНА</t>
  </si>
  <si>
    <t>КУЛИК</t>
  </si>
  <si>
    <t>ГРИГОРІЙ</t>
  </si>
  <si>
    <t>РОМАНЕНКО</t>
  </si>
  <si>
    <t>КОСТЮК</t>
  </si>
  <si>
    <t>МАРТА</t>
  </si>
  <si>
    <t>ОЛЕГІВНА</t>
  </si>
  <si>
    <t>СЕМЕНЮК</t>
  </si>
  <si>
    <t>ВАЛЕНТИНА</t>
  </si>
  <si>
    <t>ПЕТРІВНА</t>
  </si>
  <si>
    <t>НАЗАРЕНКО</t>
  </si>
  <si>
    <t>СЕРГІЙ</t>
  </si>
  <si>
    <t>ТКАЧ</t>
  </si>
  <si>
    <t>КРАВЕЦЬ</t>
  </si>
  <si>
    <t>ІНЕСА</t>
  </si>
  <si>
    <t>КОЛОМІЄЦЬ</t>
  </si>
  <si>
    <t>РОДІОНОВИЧ</t>
  </si>
  <si>
    <t>КОЗАК</t>
  </si>
  <si>
    <t>ЯКОВЕНКО</t>
  </si>
  <si>
    <t>ФЕДОРЕНКО</t>
  </si>
  <si>
    <t>МИХАЙЛОВИЧ</t>
  </si>
  <si>
    <t>КОВТУН</t>
  </si>
  <si>
    <t>ІЛЛЯ</t>
  </si>
  <si>
    <t>БІЛОУС</t>
  </si>
  <si>
    <t>ДМИТРО</t>
  </si>
  <si>
    <t>НЕСТЕРЕНКО</t>
  </si>
  <si>
    <t>ВОЛОДИМИРОВИЧ</t>
  </si>
  <si>
    <t>ТЕРЕЩЕНКО</t>
  </si>
  <si>
    <t>КОЛЕСНИК</t>
  </si>
  <si>
    <t>ЄВДОКІЯ</t>
  </si>
  <si>
    <t>ПОПОВ</t>
  </si>
  <si>
    <t>ЗІНЧЕНКО</t>
  </si>
  <si>
    <t>ТАРАСЕНКО</t>
  </si>
  <si>
    <t>МІЩЕНКО</t>
  </si>
  <si>
    <t>ВАЛЕРІЇВНА</t>
  </si>
  <si>
    <t>ВОВК</t>
  </si>
  <si>
    <t>ФЕДІР</t>
  </si>
  <si>
    <t>КІНДРАТОВИЧ</t>
  </si>
  <si>
    <t>ДЕМЧЕНКО</t>
  </si>
  <si>
    <t>ТЕТЯНА</t>
  </si>
  <si>
    <t>ДЯЧЕНКО</t>
  </si>
  <si>
    <t>КОВАЛЬОВА</t>
  </si>
  <si>
    <t>ІРИНА</t>
  </si>
  <si>
    <t>ПИЛИПЕНКО</t>
  </si>
  <si>
    <t>ІЩЕНКО</t>
  </si>
  <si>
    <t>МАКАРЕНКО</t>
  </si>
  <si>
    <t>АНТОН</t>
  </si>
  <si>
    <t>СЕМЕНОВИЧ</t>
  </si>
  <si>
    <t>БАБЕНКО</t>
  </si>
  <si>
    <t>КИРИЧЕНКО</t>
  </si>
  <si>
    <t>РАЇСА</t>
  </si>
  <si>
    <t>ОПАНАСІВНА</t>
  </si>
  <si>
    <t>ТИЩЕНКО</t>
  </si>
  <si>
    <t>ТИМОШЕНКО</t>
  </si>
  <si>
    <t>ВОЛОДИМИРІВНА</t>
  </si>
  <si>
    <t>ЖУК</t>
  </si>
  <si>
    <t>ЯКОВИЧ</t>
  </si>
  <si>
    <t>МОСКАЛЕНКО</t>
  </si>
  <si>
    <t>ЛАРИСА</t>
  </si>
  <si>
    <t>ВІТАЛІЇВНА</t>
  </si>
  <si>
    <t>МАРЧУК</t>
  </si>
  <si>
    <t>КИРИЛОВИЧ</t>
  </si>
  <si>
    <t>ВЛАСЕНКО</t>
  </si>
  <si>
    <t>ГУМЕНЮК</t>
  </si>
  <si>
    <t>НАТАЛІЯ</t>
  </si>
  <si>
    <t>ЯЦЕНКО</t>
  </si>
  <si>
    <t>ТАМАРА</t>
  </si>
  <si>
    <t>РАДЧЕНКО</t>
  </si>
  <si>
    <t>ГЕРАСИМЕНКО</t>
  </si>
  <si>
    <t>СВІТЛАНА</t>
  </si>
  <si>
    <t>СЕРГІЄНКО</t>
  </si>
  <si>
    <t>КОРНІЄНКО</t>
  </si>
  <si>
    <t>ГОНЧАР</t>
  </si>
  <si>
    <t>ОЛЕСЬ</t>
  </si>
  <si>
    <t>ТЕРЕНТІЙОВИЧ</t>
  </si>
  <si>
    <t>МАРТИНЕНКО</t>
  </si>
  <si>
    <t>ГОРДІЄНКО</t>
  </si>
  <si>
    <t>СТЕПАНЕНКО</t>
  </si>
  <si>
    <t>ПРОКОПЕНКО</t>
  </si>
  <si>
    <t>ДЕНИС</t>
  </si>
  <si>
    <t>ГЕННАДІЙОВИЧ</t>
  </si>
  <si>
    <t>ШУЛЬГА</t>
  </si>
  <si>
    <t>ВОЛОШИН</t>
  </si>
  <si>
    <t>АВГУСТИН</t>
  </si>
  <si>
    <t>ВЕЛИЧКО</t>
  </si>
  <si>
    <t>САМІЙЛО</t>
  </si>
  <si>
    <t>ДЕНИСЕНКО</t>
  </si>
  <si>
    <t>Кількість звільнених на:</t>
  </si>
  <si>
    <t>Позначки рядків</t>
  </si>
  <si>
    <t>(пусто)</t>
  </si>
  <si>
    <t>Загальний підсумок</t>
  </si>
  <si>
    <t>Кількість з Причина звільнення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</si>
</sst>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14"/>
      <color rgb="FF000000"/>
      <name val="&quot;Aptos narrow&quot;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name val="aptos narrow"/>
    </font>
    <font>
      <sz val="11"/>
      <color rgb="FF000000"/>
      <name val="Arial"/>
    </font>
    <font>
      <b/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1" fillId="0" borderId="5" xfId="0" applyFont="1" applyBorder="1" applyAlignment="1"/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0" xfId="0" applyNumberFormat="1" applyFont="1" applyAlignment="1"/>
    <xf numFmtId="0" fontId="1" fillId="0" borderId="5" xfId="0" applyFont="1" applyBorder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0" fillId="0" borderId="7" xfId="0" applyFont="1" applyBorder="1" applyAlignment="1"/>
    <xf numFmtId="0" fontId="1" fillId="2" borderId="0" xfId="0" applyFont="1" applyFill="1" applyAlignme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/>
    <xf numFmtId="0" fontId="1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14" fontId="7" fillId="2" borderId="0" xfId="0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" xfId="0" applyFont="1" applyFill="1" applyBorder="1" applyAlignment="1"/>
    <xf numFmtId="0" fontId="5" fillId="2" borderId="7" xfId="0" applyFont="1" applyFill="1" applyBorder="1"/>
    <xf numFmtId="0" fontId="2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>
      <alignment horizontal="left"/>
    </xf>
    <xf numFmtId="0" fontId="4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ont="1" applyFill="1" applyAlignment="1">
      <alignment wrapText="1"/>
    </xf>
    <xf numFmtId="0" fontId="1" fillId="2" borderId="7" xfId="0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4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8.952342708333" createdVersion="6" refreshedVersion="6" minRefreshableVersion="3" recordCount="101" xr:uid="{17C85DDD-87E6-4791-8CC8-4CD68B737EDC}">
  <cacheSource type="worksheet">
    <worksheetSource ref="N16:N117" sheet="Main"/>
  </cacheSource>
  <cacheFields count="1">
    <cacheField name="Причина звільнення" numFmtId="0">
      <sharedItems containsBlank="1" count="7">
        <m/>
        <s v="за власним бажанням"/>
        <s v="порушення трудового договору"/>
        <s v="за згодою сторін"/>
        <s v="завершення трудового договору"/>
        <s v="не відповідність"/>
        <s v="скорочення штату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3"/>
  </r>
  <r>
    <x v="1"/>
  </r>
  <r>
    <x v="0"/>
  </r>
  <r>
    <x v="4"/>
  </r>
  <r>
    <x v="0"/>
  </r>
  <r>
    <x v="4"/>
  </r>
  <r>
    <x v="0"/>
  </r>
  <r>
    <x v="3"/>
  </r>
  <r>
    <x v="3"/>
  </r>
  <r>
    <x v="1"/>
  </r>
  <r>
    <x v="0"/>
  </r>
  <r>
    <x v="0"/>
  </r>
  <r>
    <x v="0"/>
  </r>
  <r>
    <x v="0"/>
  </r>
  <r>
    <x v="0"/>
  </r>
  <r>
    <x v="0"/>
  </r>
  <r>
    <x v="3"/>
  </r>
  <r>
    <x v="1"/>
  </r>
  <r>
    <x v="0"/>
  </r>
  <r>
    <x v="5"/>
  </r>
  <r>
    <x v="6"/>
  </r>
  <r>
    <x v="5"/>
  </r>
  <r>
    <x v="1"/>
  </r>
  <r>
    <x v="3"/>
  </r>
  <r>
    <x v="0"/>
  </r>
  <r>
    <x v="0"/>
  </r>
  <r>
    <x v="3"/>
  </r>
  <r>
    <x v="1"/>
  </r>
  <r>
    <x v="0"/>
  </r>
  <r>
    <x v="4"/>
  </r>
  <r>
    <x v="1"/>
  </r>
  <r>
    <x v="1"/>
  </r>
  <r>
    <x v="5"/>
  </r>
  <r>
    <x v="2"/>
  </r>
  <r>
    <x v="1"/>
  </r>
  <r>
    <x v="1"/>
  </r>
  <r>
    <x v="1"/>
  </r>
  <r>
    <x v="1"/>
  </r>
  <r>
    <x v="0"/>
  </r>
  <r>
    <x v="3"/>
  </r>
  <r>
    <x v="1"/>
  </r>
  <r>
    <x v="1"/>
  </r>
  <r>
    <x v="1"/>
  </r>
  <r>
    <x v="1"/>
  </r>
  <r>
    <x v="3"/>
  </r>
  <r>
    <x v="5"/>
  </r>
  <r>
    <x v="5"/>
  </r>
  <r>
    <x v="0"/>
  </r>
  <r>
    <x v="3"/>
  </r>
  <r>
    <x v="0"/>
  </r>
  <r>
    <x v="5"/>
  </r>
  <r>
    <x v="3"/>
  </r>
  <r>
    <x v="0"/>
  </r>
  <r>
    <x v="6"/>
  </r>
  <r>
    <x v="6"/>
  </r>
  <r>
    <x v="1"/>
  </r>
  <r>
    <x v="5"/>
  </r>
  <r>
    <x v="0"/>
  </r>
  <r>
    <x v="0"/>
  </r>
  <r>
    <x v="5"/>
  </r>
  <r>
    <x v="5"/>
  </r>
  <r>
    <x v="6"/>
  </r>
  <r>
    <x v="1"/>
  </r>
  <r>
    <x v="0"/>
  </r>
  <r>
    <x v="1"/>
  </r>
  <r>
    <x v="0"/>
  </r>
  <r>
    <x v="1"/>
  </r>
  <r>
    <x v="5"/>
  </r>
  <r>
    <x v="0"/>
  </r>
  <r>
    <x v="5"/>
  </r>
  <r>
    <x v="1"/>
  </r>
  <r>
    <x v="5"/>
  </r>
  <r>
    <x v="0"/>
  </r>
  <r>
    <x v="0"/>
  </r>
  <r>
    <x v="1"/>
  </r>
  <r>
    <x v="1"/>
  </r>
  <r>
    <x v="0"/>
  </r>
  <r>
    <x v="0"/>
  </r>
  <r>
    <x v="0"/>
  </r>
  <r>
    <x v="0"/>
  </r>
  <r>
    <x v="3"/>
  </r>
  <r>
    <x v="0"/>
  </r>
  <r>
    <x v="1"/>
  </r>
  <r>
    <x v="4"/>
  </r>
  <r>
    <x v="0"/>
  </r>
  <r>
    <x v="6"/>
  </r>
  <r>
    <x v="0"/>
  </r>
  <r>
    <x v="3"/>
  </r>
  <r>
    <x v="0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B5EA5-B47B-401D-9879-AE6517C65E86}" name="Зведена таблиця1" cacheId="0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>
  <location ref="A3:B11" firstHeaderRow="1" firstDataRow="1" firstDataCol="1"/>
  <pivotFields count="1">
    <pivotField axis="axisRow" dataField="1" showAll="0">
      <items count="8">
        <item x="1"/>
        <item x="3"/>
        <item x="4"/>
        <item x="5"/>
        <item x="2"/>
        <item x="6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ількість з Причина звільнення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showGridLines="0" zoomScale="70" zoomScaleNormal="70" workbookViewId="0">
      <selection activeCell="T16" sqref="T16"/>
    </sheetView>
  </sheetViews>
  <sheetFormatPr defaultColWidth="12.59765625" defaultRowHeight="15" customHeight="1"/>
  <cols>
    <col min="1" max="1" width="4.19921875" customWidth="1"/>
    <col min="2" max="2" width="4.59765625" customWidth="1"/>
    <col min="3" max="5" width="18.09765625" customWidth="1"/>
    <col min="6" max="6" width="11.19921875" customWidth="1"/>
    <col min="7" max="7" width="11.296875" customWidth="1"/>
    <col min="8" max="8" width="21.59765625" customWidth="1"/>
    <col min="9" max="9" width="11.5" customWidth="1"/>
    <col min="10" max="10" width="10.09765625" customWidth="1"/>
    <col min="11" max="11" width="11.09765625" customWidth="1"/>
    <col min="12" max="13" width="12.5" customWidth="1"/>
    <col min="14" max="14" width="31.19921875" customWidth="1"/>
    <col min="15" max="15" width="2.69921875" customWidth="1"/>
    <col min="16" max="16" width="19.09765625" customWidth="1"/>
    <col min="17" max="17" width="9.796875" hidden="1" customWidth="1"/>
    <col min="18" max="25" width="7.59765625" customWidth="1"/>
  </cols>
  <sheetData>
    <row r="1" spans="1:18" ht="14.2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1"/>
      <c r="Q1" s="1"/>
      <c r="R1" s="1"/>
    </row>
    <row r="2" spans="1:18" ht="14.25" customHeight="1">
      <c r="A2" s="23"/>
      <c r="B2" s="34" t="s">
        <v>0</v>
      </c>
      <c r="C2" s="35"/>
      <c r="D2" s="35"/>
      <c r="E2" s="35"/>
      <c r="F2" s="23"/>
      <c r="G2" s="23"/>
      <c r="H2" s="23"/>
      <c r="I2" s="23"/>
      <c r="J2" s="23"/>
      <c r="K2" s="23"/>
      <c r="L2" s="23"/>
      <c r="M2" s="23"/>
      <c r="N2" s="23"/>
      <c r="O2" s="23"/>
      <c r="P2" s="1"/>
      <c r="Q2" s="1"/>
      <c r="R2" s="1"/>
    </row>
    <row r="3" spans="1:18" ht="14.25" customHeight="1">
      <c r="A3" s="23"/>
      <c r="B3" s="36" t="s">
        <v>1</v>
      </c>
      <c r="C3" s="35"/>
      <c r="D3" s="35"/>
      <c r="E3" s="35"/>
      <c r="F3" s="35"/>
      <c r="G3" s="35"/>
      <c r="H3" s="35"/>
      <c r="I3" s="35"/>
      <c r="J3" s="35"/>
      <c r="K3" s="35"/>
      <c r="L3" s="24" t="s">
        <v>2</v>
      </c>
      <c r="M3" s="25"/>
      <c r="N3" s="23"/>
      <c r="O3" s="23"/>
      <c r="P3" s="1"/>
      <c r="Q3" s="1"/>
      <c r="R3" s="1"/>
    </row>
    <row r="4" spans="1:18" ht="14.25" customHeight="1">
      <c r="A4" s="23"/>
      <c r="B4" s="36" t="s">
        <v>3</v>
      </c>
      <c r="C4" s="35"/>
      <c r="D4" s="35"/>
      <c r="E4" s="35"/>
      <c r="F4" s="26"/>
      <c r="G4" s="26"/>
      <c r="H4" s="26"/>
      <c r="I4" s="26"/>
      <c r="J4" s="26"/>
      <c r="K4" s="27" t="s">
        <v>4</v>
      </c>
      <c r="L4" s="37" t="s">
        <v>5</v>
      </c>
      <c r="M4" s="33"/>
      <c r="N4" s="33"/>
      <c r="O4" s="33"/>
      <c r="P4" s="20" t="s">
        <v>6</v>
      </c>
      <c r="Q4" s="1"/>
      <c r="R4" s="1"/>
    </row>
    <row r="5" spans="1:18" ht="14.25" customHeight="1">
      <c r="A5" s="23"/>
      <c r="B5" s="36" t="s">
        <v>7</v>
      </c>
      <c r="C5" s="35"/>
      <c r="D5" s="35"/>
      <c r="E5" s="35"/>
      <c r="F5" s="35"/>
      <c r="G5" s="35"/>
      <c r="H5" s="35"/>
      <c r="I5" s="35"/>
      <c r="J5" s="26"/>
      <c r="K5" s="27">
        <v>1</v>
      </c>
      <c r="L5" s="32" t="s">
        <v>8</v>
      </c>
      <c r="M5" s="33"/>
      <c r="N5" s="33"/>
      <c r="O5" s="33"/>
      <c r="P5" s="20">
        <f>COUNTBLANK(L18:L117)</f>
        <v>39</v>
      </c>
      <c r="Q5" s="1"/>
      <c r="R5" s="1"/>
    </row>
    <row r="6" spans="1:18" ht="14.25" customHeight="1">
      <c r="A6" s="23"/>
      <c r="B6" s="38" t="s">
        <v>9</v>
      </c>
      <c r="C6" s="39"/>
      <c r="D6" s="39"/>
      <c r="E6" s="39"/>
      <c r="F6" s="39"/>
      <c r="G6" s="39"/>
      <c r="H6" s="39"/>
      <c r="I6" s="39"/>
      <c r="J6" s="26"/>
      <c r="K6" s="27">
        <v>2</v>
      </c>
      <c r="L6" s="32" t="s">
        <v>10</v>
      </c>
      <c r="M6" s="33"/>
      <c r="N6" s="33"/>
      <c r="O6" s="33"/>
      <c r="P6" s="20">
        <f>COUNTIF(L18:L117,"&lt;="&amp;F14)</f>
        <v>61</v>
      </c>
      <c r="Q6" s="1"/>
      <c r="R6" s="1"/>
    </row>
    <row r="7" spans="1:18" ht="14.25" customHeight="1">
      <c r="A7" s="23"/>
      <c r="B7" s="39"/>
      <c r="C7" s="39"/>
      <c r="D7" s="39"/>
      <c r="E7" s="39"/>
      <c r="F7" s="39"/>
      <c r="G7" s="39"/>
      <c r="H7" s="39"/>
      <c r="I7" s="39"/>
      <c r="J7" s="26"/>
      <c r="K7" s="27">
        <v>3</v>
      </c>
      <c r="L7" s="40" t="s">
        <v>357</v>
      </c>
      <c r="M7" s="37"/>
      <c r="N7" s="41">
        <v>39814</v>
      </c>
      <c r="O7" s="42"/>
      <c r="P7" s="20">
        <f>COUNTIF(L18:L117,"&lt;="&amp;N7)</f>
        <v>3</v>
      </c>
      <c r="Q7" s="1"/>
      <c r="R7" s="1"/>
    </row>
    <row r="8" spans="1:18" ht="14.25" customHeight="1">
      <c r="A8" s="23"/>
      <c r="B8" s="44" t="s">
        <v>11</v>
      </c>
      <c r="C8" s="35"/>
      <c r="D8" s="35"/>
      <c r="E8" s="35"/>
      <c r="F8" s="35"/>
      <c r="G8" s="35"/>
      <c r="H8" s="35"/>
      <c r="I8" s="35"/>
      <c r="J8" s="35"/>
      <c r="K8" s="27">
        <v>4</v>
      </c>
      <c r="L8" s="32" t="s">
        <v>12</v>
      </c>
      <c r="M8" s="33"/>
      <c r="N8" s="33"/>
      <c r="O8" s="33"/>
      <c r="P8" s="21">
        <f>AVERAGEIF(L18:L117,"&gt;0",Q18:Q117)</f>
        <v>51.032786885245905</v>
      </c>
      <c r="Q8" s="1"/>
      <c r="R8" s="1"/>
    </row>
    <row r="9" spans="1:18" ht="14.25" customHeight="1">
      <c r="A9" s="23"/>
      <c r="B9" s="36" t="s">
        <v>13</v>
      </c>
      <c r="C9" s="35"/>
      <c r="D9" s="35"/>
      <c r="E9" s="35"/>
      <c r="F9" s="26"/>
      <c r="G9" s="26"/>
      <c r="H9" s="26"/>
      <c r="I9" s="26"/>
      <c r="J9" s="26"/>
      <c r="K9" s="27">
        <v>5</v>
      </c>
      <c r="L9" s="32" t="s">
        <v>14</v>
      </c>
      <c r="M9" s="33"/>
      <c r="N9" s="33"/>
      <c r="O9" s="33"/>
      <c r="P9" s="20" t="str">
        <f>IF(COUNTIFS(G18:G117,"чоловіча",L18:L117,"&lt;&gt;")&gt;COUNTIFS(G18:G117,"жіноча",L18:L117,"&lt;&gt;"),"чоловіча",IF(COUNTIFS(G18:G117,"чоловіча",L18:L117,"&lt;&gt;")&lt;COUNTIFS(G18:G117,"жіноча",L18:L117,"&lt;&gt;"),"жіноча","однаково"))</f>
        <v>чоловіча</v>
      </c>
      <c r="Q9" s="1"/>
      <c r="R9" s="1"/>
    </row>
    <row r="10" spans="1:18" ht="14.25" customHeight="1">
      <c r="A10" s="23"/>
      <c r="B10" s="36" t="s">
        <v>15</v>
      </c>
      <c r="C10" s="35"/>
      <c r="D10" s="35"/>
      <c r="E10" s="35"/>
      <c r="F10" s="35"/>
      <c r="G10" s="35"/>
      <c r="H10" s="35"/>
      <c r="I10" s="35"/>
      <c r="J10" s="35"/>
      <c r="K10" s="27">
        <v>6</v>
      </c>
      <c r="L10" s="43" t="s">
        <v>16</v>
      </c>
      <c r="M10" s="33"/>
      <c r="N10" s="33"/>
      <c r="O10" s="33"/>
      <c r="P10" s="20">
        <f>COUNTIF(C18:C117,"Р*")</f>
        <v>4</v>
      </c>
      <c r="Q10" s="1"/>
      <c r="R10" s="1"/>
    </row>
    <row r="11" spans="1:18" ht="14.25" customHeight="1">
      <c r="A11" s="23"/>
      <c r="B11" s="36" t="s">
        <v>17</v>
      </c>
      <c r="C11" s="35"/>
      <c r="D11" s="35"/>
      <c r="E11" s="35"/>
      <c r="F11" s="35"/>
      <c r="G11" s="26"/>
      <c r="H11" s="26"/>
      <c r="I11" s="26"/>
      <c r="J11" s="26"/>
      <c r="K11" s="27">
        <v>7</v>
      </c>
      <c r="L11" s="43" t="s">
        <v>18</v>
      </c>
      <c r="M11" s="33"/>
      <c r="N11" s="33"/>
      <c r="O11" s="33"/>
      <c r="P11" s="20">
        <f>COUNTA(Аркуш1!A4:A9)</f>
        <v>6</v>
      </c>
      <c r="Q11" s="1"/>
      <c r="R11" s="1"/>
    </row>
    <row r="12" spans="1:18" ht="14.25" customHeight="1">
      <c r="A12" s="23"/>
      <c r="B12" s="28"/>
      <c r="C12" s="23"/>
      <c r="D12" s="23"/>
      <c r="E12" s="23"/>
      <c r="F12" s="26"/>
      <c r="G12" s="26"/>
      <c r="H12" s="26"/>
      <c r="I12" s="26"/>
      <c r="J12" s="26"/>
      <c r="K12" s="27">
        <v>8</v>
      </c>
      <c r="L12" s="32" t="s">
        <v>19</v>
      </c>
      <c r="M12" s="33"/>
      <c r="N12" s="33"/>
      <c r="O12" s="33"/>
      <c r="P12" s="22" t="str">
        <f>INDEX(Аркуш1!A4:A9,MATCH(MAX(Аркуш1!B4:B9),Аркуш1!B4:B9,0),1)</f>
        <v>за власним бажанням</v>
      </c>
      <c r="Q12" s="1"/>
      <c r="R12" s="1"/>
    </row>
    <row r="13" spans="1:18" ht="14.25" customHeight="1">
      <c r="A13" s="23"/>
      <c r="B13" s="28"/>
      <c r="C13" s="23"/>
      <c r="D13" s="23"/>
      <c r="E13" s="23"/>
      <c r="F13" s="26"/>
      <c r="G13" s="26"/>
      <c r="H13" s="26"/>
      <c r="I13" s="26"/>
      <c r="J13" s="26"/>
      <c r="K13" s="26"/>
      <c r="L13" s="23"/>
      <c r="M13" s="23"/>
      <c r="N13" s="23"/>
      <c r="O13" s="23"/>
      <c r="P13" s="1"/>
      <c r="Q13" s="1"/>
      <c r="R13" s="1"/>
    </row>
    <row r="14" spans="1:18" ht="31.8" customHeight="1">
      <c r="A14" s="23"/>
      <c r="B14" s="28"/>
      <c r="C14" s="47" t="s">
        <v>20</v>
      </c>
      <c r="D14" s="39"/>
      <c r="E14" s="39"/>
      <c r="F14" s="29">
        <v>44927</v>
      </c>
      <c r="G14" s="30"/>
      <c r="H14" s="26"/>
      <c r="I14" s="28"/>
      <c r="J14" s="28"/>
      <c r="K14" s="26"/>
      <c r="L14" s="26"/>
      <c r="M14" s="26"/>
      <c r="N14" s="23"/>
      <c r="O14" s="23"/>
      <c r="P14" s="1"/>
      <c r="Q14" s="1"/>
      <c r="R14" s="1"/>
    </row>
    <row r="15" spans="1:18" ht="14.25" customHeight="1">
      <c r="A15" s="23"/>
      <c r="B15" s="31"/>
      <c r="C15" s="25"/>
      <c r="D15" s="25"/>
      <c r="E15" s="25"/>
      <c r="F15" s="31"/>
      <c r="G15" s="31"/>
      <c r="H15" s="31"/>
      <c r="I15" s="31"/>
      <c r="J15" s="31"/>
      <c r="K15" s="31"/>
      <c r="L15" s="31"/>
      <c r="M15" s="31"/>
      <c r="N15" s="25"/>
      <c r="O15" s="25"/>
      <c r="P15" s="2"/>
      <c r="Q15" s="1"/>
      <c r="R15" s="1"/>
    </row>
    <row r="16" spans="1:18" ht="14.25" customHeight="1">
      <c r="A16" s="1"/>
      <c r="B16" s="45" t="s">
        <v>4</v>
      </c>
      <c r="C16" s="48" t="s">
        <v>21</v>
      </c>
      <c r="D16" s="49"/>
      <c r="E16" s="50"/>
      <c r="F16" s="45" t="s">
        <v>22</v>
      </c>
      <c r="G16" s="45" t="s">
        <v>23</v>
      </c>
      <c r="H16" s="51" t="s">
        <v>142</v>
      </c>
      <c r="I16" s="45" t="s">
        <v>24</v>
      </c>
      <c r="J16" s="45" t="s">
        <v>25</v>
      </c>
      <c r="K16" s="45" t="s">
        <v>26</v>
      </c>
      <c r="L16" s="45" t="s">
        <v>27</v>
      </c>
      <c r="M16" s="45" t="s">
        <v>28</v>
      </c>
      <c r="N16" s="45" t="s">
        <v>29</v>
      </c>
      <c r="O16" s="2"/>
      <c r="P16" s="2"/>
      <c r="Q16" s="1"/>
      <c r="R16" s="1"/>
    </row>
    <row r="17" spans="1:18" ht="47.4" customHeight="1">
      <c r="A17" s="1"/>
      <c r="B17" s="46"/>
      <c r="C17" s="9" t="s">
        <v>30</v>
      </c>
      <c r="D17" s="9" t="s">
        <v>31</v>
      </c>
      <c r="E17" s="9" t="s">
        <v>32</v>
      </c>
      <c r="F17" s="46"/>
      <c r="G17" s="46"/>
      <c r="H17" s="52"/>
      <c r="I17" s="46"/>
      <c r="J17" s="46"/>
      <c r="K17" s="46"/>
      <c r="L17" s="46"/>
      <c r="M17" s="46"/>
      <c r="N17" s="46"/>
      <c r="O17" s="2"/>
      <c r="P17" s="2"/>
      <c r="Q17" s="1"/>
      <c r="R17" s="1"/>
    </row>
    <row r="18" spans="1:18" ht="14.25" customHeight="1">
      <c r="A18" s="1"/>
      <c r="B18" s="10">
        <v>1</v>
      </c>
      <c r="C18" s="14" t="s">
        <v>354</v>
      </c>
      <c r="D18" s="12" t="s">
        <v>355</v>
      </c>
      <c r="E18" s="12" t="s">
        <v>193</v>
      </c>
      <c r="F18" s="11">
        <v>23575</v>
      </c>
      <c r="G18" s="12" t="str">
        <f t="shared" ref="G18:G49" si="0">IF(ISNUMBER(SEARCH("вна",E18)),"жіноча","чоловіча")</f>
        <v>чоловіча</v>
      </c>
      <c r="H18" s="12" t="str">
        <f>VLOOKUP(_xlfn.CONCAT(C18," ",D18," ",E18),Відділи!B100:C199,2,FALSE)</f>
        <v>Бухгалтерія</v>
      </c>
      <c r="I18" s="12">
        <f t="shared" ref="I18:I49" si="1">DATEDIF(F18,K18,"Y")</f>
        <v>42</v>
      </c>
      <c r="J18" s="12" t="str">
        <f t="shared" ref="J18:J49" si="2">IF(I18&gt;=60,"так","ні")</f>
        <v>ні</v>
      </c>
      <c r="K18" s="11">
        <v>39161</v>
      </c>
      <c r="L18" s="11"/>
      <c r="M18" s="16" t="str">
        <f t="shared" ref="M18:M49" si="3">IF(L18="",_xlfn.CONCAT(DATEDIF(K18,$F$14,"Y"),"р.", DATEDIF(K18,$F$14,"ym"),"м.", DATEDIF(K18,$F$14,"md"),"д."),_xlfn.CONCAT(DATEDIF(K18,L18,"Y"),"р.", DATEDIF(K18,L18,"ym"),"м.", DATEDIF(K18,L18,"md"),"д."))</f>
        <v>15р.9м.12д.</v>
      </c>
      <c r="N18" s="12"/>
      <c r="O18" s="4"/>
      <c r="P18" s="4"/>
      <c r="Q18" s="1">
        <f>DATEDIF(F18,$F$14,"Y")</f>
        <v>58</v>
      </c>
      <c r="R18" s="1"/>
    </row>
    <row r="19" spans="1:18" ht="14.25" customHeight="1">
      <c r="A19" s="1"/>
      <c r="B19" s="10">
        <v>2</v>
      </c>
      <c r="C19" s="14" t="s">
        <v>263</v>
      </c>
      <c r="D19" s="12" t="s">
        <v>264</v>
      </c>
      <c r="E19" s="12" t="s">
        <v>260</v>
      </c>
      <c r="F19" s="11">
        <v>28873</v>
      </c>
      <c r="G19" s="12" t="str">
        <f t="shared" si="0"/>
        <v>жіноча</v>
      </c>
      <c r="H19" s="12" t="str">
        <f>VLOOKUP(_xlfn.CONCAT(C19," ",D19," ",E19),Відділи!B49:C148,2,FALSE)</f>
        <v>Бухгалтерія</v>
      </c>
      <c r="I19" s="12">
        <f t="shared" si="1"/>
        <v>34</v>
      </c>
      <c r="J19" s="12" t="str">
        <f t="shared" si="2"/>
        <v>ні</v>
      </c>
      <c r="K19" s="11">
        <v>41402</v>
      </c>
      <c r="L19" s="11"/>
      <c r="M19" s="16" t="str">
        <f t="shared" si="3"/>
        <v>9р.7м.24д.</v>
      </c>
      <c r="N19" s="12"/>
      <c r="O19" s="4"/>
      <c r="P19" s="15"/>
      <c r="Q19" s="1">
        <f t="shared" ref="Q19:Q82" si="4">DATEDIF(F19,$F$14,"Y")</f>
        <v>43</v>
      </c>
      <c r="R19" s="1"/>
    </row>
    <row r="20" spans="1:18" ht="14.25" customHeight="1">
      <c r="A20" s="1"/>
      <c r="B20" s="10">
        <v>3</v>
      </c>
      <c r="C20" s="14" t="s">
        <v>184</v>
      </c>
      <c r="D20" s="12" t="s">
        <v>185</v>
      </c>
      <c r="E20" s="12" t="s">
        <v>157</v>
      </c>
      <c r="F20" s="11">
        <v>22028</v>
      </c>
      <c r="G20" s="12" t="str">
        <f t="shared" si="0"/>
        <v>жіноча</v>
      </c>
      <c r="H20" s="12" t="str">
        <f>VLOOKUP(_xlfn.CONCAT(C20," ",D20," ",E20),Відділи!B14:C113,2,FALSE)</f>
        <v>Бухгалтерія</v>
      </c>
      <c r="I20" s="12">
        <f t="shared" si="1"/>
        <v>54</v>
      </c>
      <c r="J20" s="12" t="str">
        <f t="shared" si="2"/>
        <v>ні</v>
      </c>
      <c r="K20" s="11">
        <v>41977</v>
      </c>
      <c r="L20" s="11"/>
      <c r="M20" s="16" t="str">
        <f t="shared" si="3"/>
        <v>8р.0м.28д.</v>
      </c>
      <c r="N20" s="12"/>
      <c r="O20" s="4"/>
      <c r="P20" s="4"/>
      <c r="Q20" s="1">
        <f t="shared" si="4"/>
        <v>62</v>
      </c>
      <c r="R20" s="1"/>
    </row>
    <row r="21" spans="1:18" ht="14.25" customHeight="1">
      <c r="A21" s="1"/>
      <c r="B21" s="10">
        <v>4</v>
      </c>
      <c r="C21" s="14" t="s">
        <v>173</v>
      </c>
      <c r="D21" s="12" t="s">
        <v>165</v>
      </c>
      <c r="E21" s="12" t="s">
        <v>174</v>
      </c>
      <c r="F21" s="11">
        <v>24302</v>
      </c>
      <c r="G21" s="12" t="str">
        <f t="shared" si="0"/>
        <v>чоловіча</v>
      </c>
      <c r="H21" s="12" t="str">
        <f>VLOOKUP(_xlfn.CONCAT(C21," ",D21," ",E21),Відділи!B10:C109,2,FALSE)</f>
        <v>Бухгалтерія</v>
      </c>
      <c r="I21" s="12">
        <f t="shared" si="1"/>
        <v>46</v>
      </c>
      <c r="J21" s="12" t="str">
        <f t="shared" si="2"/>
        <v>ні</v>
      </c>
      <c r="K21" s="11">
        <v>41434</v>
      </c>
      <c r="L21" s="11"/>
      <c r="M21" s="16" t="str">
        <f t="shared" si="3"/>
        <v>9р.6м.23д.</v>
      </c>
      <c r="N21" s="12"/>
      <c r="O21" s="4"/>
      <c r="P21" s="4"/>
      <c r="Q21" s="1">
        <f t="shared" si="4"/>
        <v>56</v>
      </c>
      <c r="R21" s="1"/>
    </row>
    <row r="22" spans="1:18" ht="14.25" customHeight="1">
      <c r="A22" s="1"/>
      <c r="B22" s="10">
        <v>5</v>
      </c>
      <c r="C22" s="14" t="s">
        <v>291</v>
      </c>
      <c r="D22" s="12" t="s">
        <v>292</v>
      </c>
      <c r="E22" s="12" t="s">
        <v>180</v>
      </c>
      <c r="F22" s="11">
        <v>17062</v>
      </c>
      <c r="G22" s="12" t="str">
        <f t="shared" si="0"/>
        <v>чоловіча</v>
      </c>
      <c r="H22" s="12" t="str">
        <f>VLOOKUP(_xlfn.CONCAT(C22," ",D22," ",E22),Відділи!B63:C162,2,FALSE)</f>
        <v>Бухгалтерія</v>
      </c>
      <c r="I22" s="12">
        <f t="shared" si="1"/>
        <v>63</v>
      </c>
      <c r="J22" s="12" t="str">
        <f t="shared" si="2"/>
        <v>так</v>
      </c>
      <c r="K22" s="11">
        <v>40409</v>
      </c>
      <c r="L22" s="11"/>
      <c r="M22" s="16" t="str">
        <f t="shared" si="3"/>
        <v>12р.4м.13д.</v>
      </c>
      <c r="N22" s="12"/>
      <c r="O22" s="4"/>
      <c r="P22" s="4"/>
      <c r="Q22" s="1">
        <f t="shared" si="4"/>
        <v>76</v>
      </c>
      <c r="R22" s="1"/>
    </row>
    <row r="23" spans="1:18" ht="14.25" customHeight="1">
      <c r="A23" s="1"/>
      <c r="B23" s="10">
        <v>6</v>
      </c>
      <c r="C23" s="14" t="s">
        <v>259</v>
      </c>
      <c r="D23" s="12" t="s">
        <v>227</v>
      </c>
      <c r="E23" s="12" t="s">
        <v>260</v>
      </c>
      <c r="F23" s="11">
        <v>23927</v>
      </c>
      <c r="G23" s="12" t="str">
        <f t="shared" si="0"/>
        <v>жіноча</v>
      </c>
      <c r="H23" s="12" t="str">
        <f>VLOOKUP(_xlfn.CONCAT(C23," ",D23," ",E23),Відділи!B47:C146,2,FALSE)</f>
        <v>Бухгалтерія</v>
      </c>
      <c r="I23" s="12">
        <f t="shared" si="1"/>
        <v>44</v>
      </c>
      <c r="J23" s="12" t="str">
        <f t="shared" si="2"/>
        <v>ні</v>
      </c>
      <c r="K23" s="11">
        <v>40122</v>
      </c>
      <c r="L23" s="11"/>
      <c r="M23" s="16" t="str">
        <f t="shared" si="3"/>
        <v>13р.1м.27д.</v>
      </c>
      <c r="N23" s="12"/>
      <c r="O23" s="4"/>
      <c r="P23" s="4"/>
      <c r="Q23" s="1">
        <f t="shared" si="4"/>
        <v>57</v>
      </c>
      <c r="R23" s="1"/>
    </row>
    <row r="24" spans="1:18" ht="14.25" customHeight="1">
      <c r="A24" s="1"/>
      <c r="B24" s="10">
        <v>7</v>
      </c>
      <c r="C24" s="14" t="s">
        <v>315</v>
      </c>
      <c r="D24" s="12" t="s">
        <v>316</v>
      </c>
      <c r="E24" s="12" t="s">
        <v>317</v>
      </c>
      <c r="F24" s="11">
        <v>33375</v>
      </c>
      <c r="G24" s="12" t="str">
        <f t="shared" si="0"/>
        <v>чоловіча</v>
      </c>
      <c r="H24" s="12" t="str">
        <f>VLOOKUP(_xlfn.CONCAT(C24," ",D24," ",E24),Відділи!B78:C177,2,FALSE)</f>
        <v>Бухгалтерія</v>
      </c>
      <c r="I24" s="12">
        <f t="shared" si="1"/>
        <v>21</v>
      </c>
      <c r="J24" s="12" t="str">
        <f t="shared" si="2"/>
        <v>ні</v>
      </c>
      <c r="K24" s="11">
        <v>41178</v>
      </c>
      <c r="L24" s="11">
        <v>43312</v>
      </c>
      <c r="M24" s="16" t="str">
        <f t="shared" si="3"/>
        <v>5р.10м.5д.</v>
      </c>
      <c r="N24" s="12" t="s">
        <v>39</v>
      </c>
      <c r="O24" s="4"/>
      <c r="P24" s="4"/>
      <c r="Q24" s="1">
        <f t="shared" si="4"/>
        <v>31</v>
      </c>
      <c r="R24" s="1"/>
    </row>
    <row r="25" spans="1:18" ht="14.25" customHeight="1">
      <c r="A25" s="1"/>
      <c r="B25" s="10">
        <v>8</v>
      </c>
      <c r="C25" s="14" t="s">
        <v>330</v>
      </c>
      <c r="D25" s="12" t="s">
        <v>219</v>
      </c>
      <c r="E25" s="12" t="s">
        <v>331</v>
      </c>
      <c r="F25" s="11">
        <v>29020</v>
      </c>
      <c r="G25" s="12" t="str">
        <f t="shared" si="0"/>
        <v>чоловіча</v>
      </c>
      <c r="H25" s="12" t="str">
        <f>VLOOKUP(_xlfn.CONCAT(C25," ",D25," ",E25),Відділи!B85:C184,2,FALSE)</f>
        <v>Бухгалтерія</v>
      </c>
      <c r="I25" s="12">
        <f t="shared" si="1"/>
        <v>32</v>
      </c>
      <c r="J25" s="12" t="str">
        <f t="shared" si="2"/>
        <v>ні</v>
      </c>
      <c r="K25" s="11">
        <v>40825</v>
      </c>
      <c r="L25" s="11">
        <v>42579</v>
      </c>
      <c r="M25" s="16" t="str">
        <f t="shared" si="3"/>
        <v>4р.9м.19д.</v>
      </c>
      <c r="N25" s="12" t="s">
        <v>39</v>
      </c>
      <c r="O25" s="4"/>
      <c r="P25" s="4"/>
      <c r="Q25" s="1">
        <f t="shared" si="4"/>
        <v>43</v>
      </c>
      <c r="R25" s="1"/>
    </row>
    <row r="26" spans="1:18" ht="14.25" customHeight="1">
      <c r="A26" s="1"/>
      <c r="B26" s="10">
        <v>9</v>
      </c>
      <c r="C26" s="13" t="s">
        <v>33</v>
      </c>
      <c r="D26" s="12" t="s">
        <v>34</v>
      </c>
      <c r="E26" s="12" t="s">
        <v>35</v>
      </c>
      <c r="F26" s="11">
        <v>21956</v>
      </c>
      <c r="G26" s="12" t="str">
        <f t="shared" si="0"/>
        <v>чоловіча</v>
      </c>
      <c r="H26" s="12" t="str">
        <f>VLOOKUP(_xlfn.CONCAT(C26," ",D26," ",E26),Відділи!B2:C101,2,FALSE)</f>
        <v>Бухгалтерія</v>
      </c>
      <c r="I26" s="12">
        <f t="shared" si="1"/>
        <v>53</v>
      </c>
      <c r="J26" s="12" t="str">
        <f t="shared" si="2"/>
        <v>ні</v>
      </c>
      <c r="K26" s="11">
        <v>41530</v>
      </c>
      <c r="L26" s="11"/>
      <c r="M26" s="16" t="str">
        <f t="shared" si="3"/>
        <v>9р.3м.19д.</v>
      </c>
      <c r="N26" s="12"/>
      <c r="O26" s="4"/>
      <c r="P26" s="4"/>
      <c r="Q26" s="1">
        <f t="shared" si="4"/>
        <v>62</v>
      </c>
      <c r="R26" s="1"/>
    </row>
    <row r="27" spans="1:18" ht="14.25" customHeight="1">
      <c r="A27" s="1"/>
      <c r="B27" s="10">
        <v>10</v>
      </c>
      <c r="C27" s="14" t="s">
        <v>236</v>
      </c>
      <c r="D27" s="12" t="s">
        <v>237</v>
      </c>
      <c r="E27" s="12" t="s">
        <v>183</v>
      </c>
      <c r="F27" s="11">
        <v>24224</v>
      </c>
      <c r="G27" s="12" t="str">
        <f t="shared" si="0"/>
        <v>жіноча</v>
      </c>
      <c r="H27" s="12" t="str">
        <f>VLOOKUP(_xlfn.CONCAT(C27," ",D27," ",E27),Відділи!B37:C136,2,FALSE)</f>
        <v>Бухгалтерія</v>
      </c>
      <c r="I27" s="12">
        <f t="shared" si="1"/>
        <v>45</v>
      </c>
      <c r="J27" s="12" t="str">
        <f t="shared" si="2"/>
        <v>ні</v>
      </c>
      <c r="K27" s="11">
        <v>40953</v>
      </c>
      <c r="L27" s="11">
        <v>43891</v>
      </c>
      <c r="M27" s="16" t="str">
        <f t="shared" si="3"/>
        <v>8р.0м.16д.</v>
      </c>
      <c r="N27" s="12" t="s">
        <v>76</v>
      </c>
      <c r="O27" s="4"/>
      <c r="P27" s="4"/>
      <c r="Q27" s="1">
        <f t="shared" si="4"/>
        <v>56</v>
      </c>
      <c r="R27" s="1"/>
    </row>
    <row r="28" spans="1:18" ht="14.25" customHeight="1">
      <c r="A28" s="1"/>
      <c r="B28" s="10">
        <v>11</v>
      </c>
      <c r="C28" s="14" t="s">
        <v>200</v>
      </c>
      <c r="D28" s="12" t="s">
        <v>165</v>
      </c>
      <c r="E28" s="12" t="s">
        <v>201</v>
      </c>
      <c r="F28" s="11">
        <v>21196</v>
      </c>
      <c r="G28" s="12" t="str">
        <f t="shared" si="0"/>
        <v>чоловіча</v>
      </c>
      <c r="H28" s="12" t="str">
        <f>VLOOKUP(_xlfn.CONCAT(C28," ",D28," ",E28),Відділи!B20:C119,2,FALSE)</f>
        <v>Бухгалтерія</v>
      </c>
      <c r="I28" s="12">
        <f t="shared" si="1"/>
        <v>54</v>
      </c>
      <c r="J28" s="12" t="str">
        <f t="shared" si="2"/>
        <v>ні</v>
      </c>
      <c r="K28" s="11">
        <v>40921</v>
      </c>
      <c r="L28" s="11">
        <v>44494</v>
      </c>
      <c r="M28" s="16" t="str">
        <f t="shared" si="3"/>
        <v>9р.9м.12д.</v>
      </c>
      <c r="N28" s="12" t="s">
        <v>37</v>
      </c>
      <c r="O28" s="4"/>
      <c r="P28" s="4"/>
      <c r="Q28" s="1">
        <f t="shared" si="4"/>
        <v>64</v>
      </c>
      <c r="R28" s="1"/>
    </row>
    <row r="29" spans="1:18" ht="14.25" customHeight="1">
      <c r="A29" s="1"/>
      <c r="B29" s="10">
        <v>12</v>
      </c>
      <c r="C29" s="14" t="s">
        <v>280</v>
      </c>
      <c r="D29" s="12" t="s">
        <v>281</v>
      </c>
      <c r="E29" s="12" t="s">
        <v>180</v>
      </c>
      <c r="F29" s="11">
        <v>30614</v>
      </c>
      <c r="G29" s="12" t="str">
        <f t="shared" si="0"/>
        <v>чоловіча</v>
      </c>
      <c r="H29" s="12" t="str">
        <f>VLOOKUP(_xlfn.CONCAT(C29," ",D29," ",E29),Відділи!B56:C155,2,FALSE)</f>
        <v>Бухгалтерія</v>
      </c>
      <c r="I29" s="12">
        <f t="shared" si="1"/>
        <v>29</v>
      </c>
      <c r="J29" s="12" t="str">
        <f t="shared" si="2"/>
        <v>ні</v>
      </c>
      <c r="K29" s="11">
        <v>41370</v>
      </c>
      <c r="L29" s="11">
        <v>41645</v>
      </c>
      <c r="M29" s="16" t="str">
        <f t="shared" si="3"/>
        <v>0р.9м.0д.</v>
      </c>
      <c r="N29" s="12" t="s">
        <v>39</v>
      </c>
      <c r="O29" s="4"/>
      <c r="P29" s="4"/>
      <c r="Q29" s="1">
        <f t="shared" si="4"/>
        <v>39</v>
      </c>
      <c r="R29" s="1"/>
    </row>
    <row r="30" spans="1:18" ht="14.25" customHeight="1">
      <c r="A30" s="1"/>
      <c r="B30" s="10">
        <v>13</v>
      </c>
      <c r="C30" s="14" t="s">
        <v>255</v>
      </c>
      <c r="D30" s="12" t="s">
        <v>253</v>
      </c>
      <c r="E30" s="12" t="s">
        <v>256</v>
      </c>
      <c r="F30" s="11">
        <v>15594</v>
      </c>
      <c r="G30" s="12" t="str">
        <f t="shared" si="0"/>
        <v>чоловіча</v>
      </c>
      <c r="H30" s="12" t="str">
        <f>VLOOKUP(_xlfn.CONCAT(C30," ",D30," ",E30),Відділи!B45:C144,2,FALSE)</f>
        <v>Бухгалтерія</v>
      </c>
      <c r="I30" s="12">
        <f t="shared" si="1"/>
        <v>70</v>
      </c>
      <c r="J30" s="12" t="str">
        <f t="shared" si="2"/>
        <v>так</v>
      </c>
      <c r="K30" s="11">
        <v>41466</v>
      </c>
      <c r="L30" s="11"/>
      <c r="M30" s="16" t="str">
        <f t="shared" si="3"/>
        <v>9р.5м.21д.</v>
      </c>
      <c r="N30" s="12"/>
      <c r="O30" s="4"/>
      <c r="P30" s="4"/>
      <c r="Q30" s="1">
        <f t="shared" si="4"/>
        <v>80</v>
      </c>
      <c r="R30" s="1"/>
    </row>
    <row r="31" spans="1:18" ht="14.25" customHeight="1">
      <c r="A31" s="1"/>
      <c r="B31" s="10">
        <v>14</v>
      </c>
      <c r="C31" s="14" t="s">
        <v>197</v>
      </c>
      <c r="D31" s="12" t="s">
        <v>198</v>
      </c>
      <c r="E31" s="12" t="s">
        <v>199</v>
      </c>
      <c r="F31" s="11">
        <v>34241</v>
      </c>
      <c r="G31" s="12" t="str">
        <f t="shared" si="0"/>
        <v>жіноча</v>
      </c>
      <c r="H31" s="12" t="str">
        <f>VLOOKUP(_xlfn.CONCAT(C31," ",D31," ",E31),Відділи!B19:C118,2,FALSE)</f>
        <v>Бухгалтерія</v>
      </c>
      <c r="I31" s="12">
        <f t="shared" si="1"/>
        <v>17</v>
      </c>
      <c r="J31" s="12" t="str">
        <f t="shared" si="2"/>
        <v>ні</v>
      </c>
      <c r="K31" s="11">
        <v>40601</v>
      </c>
      <c r="L31" s="11">
        <v>43800</v>
      </c>
      <c r="M31" s="16" t="str">
        <f t="shared" si="3"/>
        <v>8р.9м.4д.</v>
      </c>
      <c r="N31" s="12" t="s">
        <v>56</v>
      </c>
      <c r="O31" s="4"/>
      <c r="P31" s="4"/>
      <c r="Q31" s="1">
        <f t="shared" si="4"/>
        <v>29</v>
      </c>
      <c r="R31" s="1"/>
    </row>
    <row r="32" spans="1:18" ht="14.25" customHeight="1">
      <c r="A32" s="1"/>
      <c r="B32" s="10">
        <v>15</v>
      </c>
      <c r="C32" s="14" t="s">
        <v>351</v>
      </c>
      <c r="D32" s="12" t="s">
        <v>266</v>
      </c>
      <c r="E32" s="12" t="s">
        <v>183</v>
      </c>
      <c r="F32" s="11">
        <v>24140</v>
      </c>
      <c r="G32" s="12" t="str">
        <f t="shared" si="0"/>
        <v>жіноча</v>
      </c>
      <c r="H32" s="12" t="str">
        <f>VLOOKUP(_xlfn.CONCAT(C32," ",D32," ",E32),Відділи!B98:C197,2,FALSE)</f>
        <v>Бухгалтерія</v>
      </c>
      <c r="I32" s="12">
        <f t="shared" si="1"/>
        <v>45</v>
      </c>
      <c r="J32" s="12" t="str">
        <f t="shared" si="2"/>
        <v>ні</v>
      </c>
      <c r="K32" s="11">
        <v>40761</v>
      </c>
      <c r="L32" s="11"/>
      <c r="M32" s="16" t="str">
        <f t="shared" si="3"/>
        <v>11р.4м.26д.</v>
      </c>
      <c r="N32" s="12"/>
      <c r="O32" s="4"/>
      <c r="P32" s="4"/>
      <c r="Q32" s="1">
        <f t="shared" si="4"/>
        <v>56</v>
      </c>
      <c r="R32" s="1"/>
    </row>
    <row r="33" spans="1:18" ht="14.25" customHeight="1">
      <c r="A33" s="1"/>
      <c r="B33" s="10">
        <v>16</v>
      </c>
      <c r="C33" s="14" t="s">
        <v>245</v>
      </c>
      <c r="D33" s="12" t="s">
        <v>246</v>
      </c>
      <c r="E33" s="12" t="s">
        <v>247</v>
      </c>
      <c r="F33" s="11">
        <v>24595</v>
      </c>
      <c r="G33" s="12" t="str">
        <f t="shared" si="0"/>
        <v>чоловіча</v>
      </c>
      <c r="H33" s="12" t="str">
        <f>VLOOKUP(_xlfn.CONCAT(C33," ",D33," ",E33),Відділи!B41:C140,2,FALSE)</f>
        <v>Бухгалтерія</v>
      </c>
      <c r="I33" s="12">
        <f t="shared" si="1"/>
        <v>44</v>
      </c>
      <c r="J33" s="12" t="str">
        <f t="shared" si="2"/>
        <v>ні</v>
      </c>
      <c r="K33" s="11">
        <v>40889</v>
      </c>
      <c r="L33" s="11">
        <v>44112</v>
      </c>
      <c r="M33" s="16" t="str">
        <f t="shared" si="3"/>
        <v>8р.9м.26д.</v>
      </c>
      <c r="N33" s="12" t="s">
        <v>56</v>
      </c>
      <c r="O33" s="4"/>
      <c r="P33" s="4"/>
      <c r="Q33" s="1">
        <f t="shared" si="4"/>
        <v>55</v>
      </c>
      <c r="R33" s="1"/>
    </row>
    <row r="34" spans="1:18" ht="14.25" customHeight="1">
      <c r="A34" s="1"/>
      <c r="B34" s="10">
        <v>17</v>
      </c>
      <c r="C34" s="14" t="s">
        <v>161</v>
      </c>
      <c r="D34" s="12" t="s">
        <v>162</v>
      </c>
      <c r="E34" s="12" t="s">
        <v>163</v>
      </c>
      <c r="F34" s="11">
        <v>32924</v>
      </c>
      <c r="G34" s="12" t="str">
        <f t="shared" si="0"/>
        <v>чоловіча</v>
      </c>
      <c r="H34" s="12" t="str">
        <f>VLOOKUP(_xlfn.CONCAT(C34," ",D34," ",E34),Відділи!B6:C105,2,FALSE)</f>
        <v>Відділ збуту</v>
      </c>
      <c r="I34" s="12">
        <f t="shared" si="1"/>
        <v>19</v>
      </c>
      <c r="J34" s="12" t="str">
        <f t="shared" si="2"/>
        <v>ні</v>
      </c>
      <c r="K34" s="11">
        <v>40058</v>
      </c>
      <c r="L34" s="11"/>
      <c r="M34" s="16" t="str">
        <f t="shared" si="3"/>
        <v>13р.3м.30д.</v>
      </c>
      <c r="N34" s="12"/>
      <c r="O34" s="4"/>
      <c r="P34" s="4"/>
      <c r="Q34" s="1">
        <f t="shared" si="4"/>
        <v>32</v>
      </c>
      <c r="R34" s="1"/>
    </row>
    <row r="35" spans="1:18" ht="14.25" customHeight="1">
      <c r="A35" s="1"/>
      <c r="B35" s="10">
        <v>18</v>
      </c>
      <c r="C35" s="14" t="s">
        <v>305</v>
      </c>
      <c r="D35" s="12" t="s">
        <v>306</v>
      </c>
      <c r="E35" s="12" t="s">
        <v>307</v>
      </c>
      <c r="F35" s="11">
        <v>27582</v>
      </c>
      <c r="G35" s="12" t="str">
        <f t="shared" si="0"/>
        <v>чоловіча</v>
      </c>
      <c r="H35" s="12" t="str">
        <f>VLOOKUP(_xlfn.CONCAT(C35," ",D35," ",E35),Відділи!B72:C171,2,FALSE)</f>
        <v>Відділ збуту</v>
      </c>
      <c r="I35" s="12">
        <f t="shared" si="1"/>
        <v>38</v>
      </c>
      <c r="J35" s="12" t="str">
        <f t="shared" si="2"/>
        <v>ні</v>
      </c>
      <c r="K35" s="11">
        <v>41594</v>
      </c>
      <c r="L35" s="11">
        <v>41773</v>
      </c>
      <c r="M35" s="16" t="str">
        <f t="shared" si="3"/>
        <v>0р.5м.28д.</v>
      </c>
      <c r="N35" s="12" t="s">
        <v>37</v>
      </c>
      <c r="O35" s="4"/>
      <c r="P35" s="4"/>
      <c r="Q35" s="1">
        <f t="shared" si="4"/>
        <v>47</v>
      </c>
      <c r="R35" s="1"/>
    </row>
    <row r="36" spans="1:18" ht="14.25" customHeight="1">
      <c r="A36" s="1"/>
      <c r="B36" s="10">
        <v>19</v>
      </c>
      <c r="C36" s="14" t="s">
        <v>346</v>
      </c>
      <c r="D36" s="12" t="s">
        <v>334</v>
      </c>
      <c r="E36" s="12" t="s">
        <v>324</v>
      </c>
      <c r="F36" s="11">
        <v>21594</v>
      </c>
      <c r="G36" s="12" t="str">
        <f t="shared" si="0"/>
        <v>жіноча</v>
      </c>
      <c r="H36" s="12" t="str">
        <f>VLOOKUP(_xlfn.CONCAT(C36," ",D36," ",E36),Відділи!B95:C194,2,FALSE)</f>
        <v>Відділ збуту</v>
      </c>
      <c r="I36" s="12">
        <f t="shared" si="1"/>
        <v>52</v>
      </c>
      <c r="J36" s="12" t="str">
        <f t="shared" si="2"/>
        <v>ні</v>
      </c>
      <c r="K36" s="11">
        <v>40665</v>
      </c>
      <c r="L36" s="11">
        <v>42641</v>
      </c>
      <c r="M36" s="16" t="str">
        <f t="shared" si="3"/>
        <v>5р.4м.26д.</v>
      </c>
      <c r="N36" s="12" t="s">
        <v>37</v>
      </c>
      <c r="O36" s="4"/>
      <c r="P36" s="4"/>
      <c r="Q36" s="1">
        <f t="shared" si="4"/>
        <v>63</v>
      </c>
      <c r="R36" s="1"/>
    </row>
    <row r="37" spans="1:18" ht="14.25" customHeight="1">
      <c r="A37" s="1"/>
      <c r="B37" s="10">
        <v>20</v>
      </c>
      <c r="C37" s="14" t="s">
        <v>356</v>
      </c>
      <c r="D37" s="12" t="s">
        <v>328</v>
      </c>
      <c r="E37" s="12" t="s">
        <v>324</v>
      </c>
      <c r="F37" s="11">
        <v>24923</v>
      </c>
      <c r="G37" s="12" t="str">
        <f t="shared" si="0"/>
        <v>жіноча</v>
      </c>
      <c r="H37" s="12" t="str">
        <f>VLOOKUP(_xlfn.CONCAT(C37," ",D37," ",E37),Відділи!B101:C200,2,FALSE)</f>
        <v>Відділ збуту</v>
      </c>
      <c r="I37" s="12">
        <f t="shared" si="1"/>
        <v>40</v>
      </c>
      <c r="J37" s="12" t="str">
        <f t="shared" si="2"/>
        <v>ні</v>
      </c>
      <c r="K37" s="11">
        <v>39546</v>
      </c>
      <c r="L37" s="11">
        <v>41320</v>
      </c>
      <c r="M37" s="16" t="str">
        <f t="shared" si="3"/>
        <v>4р.10м.7д.</v>
      </c>
      <c r="N37" s="12" t="s">
        <v>39</v>
      </c>
      <c r="O37" s="4"/>
      <c r="P37" s="4"/>
      <c r="Q37" s="1">
        <f t="shared" si="4"/>
        <v>54</v>
      </c>
      <c r="R37" s="1"/>
    </row>
    <row r="38" spans="1:18" ht="14.25" customHeight="1">
      <c r="A38" s="1"/>
      <c r="B38" s="10">
        <v>21</v>
      </c>
      <c r="C38" s="14" t="s">
        <v>213</v>
      </c>
      <c r="D38" s="12" t="s">
        <v>203</v>
      </c>
      <c r="E38" s="12" t="s">
        <v>214</v>
      </c>
      <c r="F38" s="11">
        <v>33931</v>
      </c>
      <c r="G38" s="12" t="str">
        <f t="shared" si="0"/>
        <v>чоловіча</v>
      </c>
      <c r="H38" s="12" t="str">
        <f>VLOOKUP(_xlfn.CONCAT(C38," ",D38," ",E38),Відділи!B26:C125,2,FALSE)</f>
        <v>Відділ збуту</v>
      </c>
      <c r="I38" s="12">
        <f t="shared" si="1"/>
        <v>21</v>
      </c>
      <c r="J38" s="12" t="str">
        <f t="shared" si="2"/>
        <v>ні</v>
      </c>
      <c r="K38" s="11">
        <v>41690</v>
      </c>
      <c r="L38" s="11"/>
      <c r="M38" s="16" t="str">
        <f t="shared" si="3"/>
        <v>8р.10м.12д.</v>
      </c>
      <c r="N38" s="12"/>
      <c r="O38" s="4"/>
      <c r="P38" s="4"/>
      <c r="Q38" s="1">
        <f t="shared" si="4"/>
        <v>30</v>
      </c>
      <c r="R38" s="1"/>
    </row>
    <row r="39" spans="1:18" ht="14.25" customHeight="1">
      <c r="A39" s="1"/>
      <c r="B39" s="10">
        <v>22</v>
      </c>
      <c r="C39" s="14" t="s">
        <v>311</v>
      </c>
      <c r="D39" s="12" t="s">
        <v>312</v>
      </c>
      <c r="E39" s="12" t="s">
        <v>228</v>
      </c>
      <c r="F39" s="11">
        <v>22060</v>
      </c>
      <c r="G39" s="12" t="str">
        <f t="shared" si="0"/>
        <v>жіноча</v>
      </c>
      <c r="H39" s="12" t="str">
        <f>VLOOKUP(_xlfn.CONCAT(C39," ",D39," ",E39),Відділи!B75:C174,2,FALSE)</f>
        <v>Відділ збуту</v>
      </c>
      <c r="I39" s="12">
        <f t="shared" si="1"/>
        <v>51</v>
      </c>
      <c r="J39" s="12" t="str">
        <f t="shared" si="2"/>
        <v>ні</v>
      </c>
      <c r="K39" s="11">
        <v>40729</v>
      </c>
      <c r="L39" s="11"/>
      <c r="M39" s="16" t="str">
        <f t="shared" si="3"/>
        <v>11р.5м.27д.</v>
      </c>
      <c r="N39" s="12"/>
      <c r="O39" s="4"/>
      <c r="P39" s="4"/>
      <c r="Q39" s="1">
        <f t="shared" si="4"/>
        <v>62</v>
      </c>
      <c r="R39" s="1"/>
    </row>
    <row r="40" spans="1:18" ht="14.25" customHeight="1">
      <c r="A40" s="1"/>
      <c r="B40" s="10">
        <v>23</v>
      </c>
      <c r="C40" s="14" t="s">
        <v>257</v>
      </c>
      <c r="D40" s="12" t="s">
        <v>258</v>
      </c>
      <c r="E40" s="12" t="s">
        <v>166</v>
      </c>
      <c r="F40" s="11">
        <v>26689</v>
      </c>
      <c r="G40" s="12" t="str">
        <f t="shared" si="0"/>
        <v>чоловіча</v>
      </c>
      <c r="H40" s="12" t="str">
        <f>VLOOKUP(_xlfn.CONCAT(C40," ",D40," ",E40),Відділи!B46:C145,2,FALSE)</f>
        <v>Відділ збуту</v>
      </c>
      <c r="I40" s="12">
        <f t="shared" si="1"/>
        <v>42</v>
      </c>
      <c r="J40" s="12" t="str">
        <f t="shared" si="2"/>
        <v>ні</v>
      </c>
      <c r="K40" s="11">
        <v>42041</v>
      </c>
      <c r="L40" s="11"/>
      <c r="M40" s="16" t="str">
        <f t="shared" si="3"/>
        <v>7р.10м.26д.</v>
      </c>
      <c r="N40" s="12"/>
      <c r="O40" s="4"/>
      <c r="P40" s="4"/>
      <c r="Q40" s="1">
        <f t="shared" si="4"/>
        <v>49</v>
      </c>
      <c r="R40" s="1"/>
    </row>
    <row r="41" spans="1:18" ht="14.25" customHeight="1">
      <c r="A41" s="1"/>
      <c r="B41" s="10">
        <v>24</v>
      </c>
      <c r="C41" s="14" t="s">
        <v>225</v>
      </c>
      <c r="D41" s="12" t="s">
        <v>216</v>
      </c>
      <c r="E41" s="12" t="s">
        <v>199</v>
      </c>
      <c r="F41" s="11">
        <v>33220</v>
      </c>
      <c r="G41" s="12" t="str">
        <f t="shared" si="0"/>
        <v>жіноча</v>
      </c>
      <c r="H41" s="12" t="str">
        <f>VLOOKUP(_xlfn.CONCAT(C41," ",D41," ",E41),Відділи!B31:C130,2,FALSE)</f>
        <v>Відділ збуту</v>
      </c>
      <c r="I41" s="12">
        <f t="shared" si="1"/>
        <v>16</v>
      </c>
      <c r="J41" s="12" t="str">
        <f t="shared" si="2"/>
        <v>ні</v>
      </c>
      <c r="K41" s="11">
        <v>39417</v>
      </c>
      <c r="L41" s="11"/>
      <c r="M41" s="16" t="str">
        <f t="shared" si="3"/>
        <v>15р.1м.0д.</v>
      </c>
      <c r="N41" s="12"/>
      <c r="O41" s="4"/>
      <c r="P41" s="4"/>
      <c r="Q41" s="1">
        <f t="shared" si="4"/>
        <v>32</v>
      </c>
      <c r="R41" s="1"/>
    </row>
    <row r="42" spans="1:18" ht="14.25" customHeight="1">
      <c r="A42" s="1"/>
      <c r="B42" s="10">
        <v>25</v>
      </c>
      <c r="C42" s="14" t="s">
        <v>202</v>
      </c>
      <c r="D42" s="12" t="s">
        <v>203</v>
      </c>
      <c r="E42" s="12" t="s">
        <v>188</v>
      </c>
      <c r="F42" s="11">
        <v>18715</v>
      </c>
      <c r="G42" s="12" t="str">
        <f t="shared" si="0"/>
        <v>чоловіча</v>
      </c>
      <c r="H42" s="12" t="str">
        <f>VLOOKUP(_xlfn.CONCAT(C42," ",D42," ",E42),Відділи!B21:C120,2,FALSE)</f>
        <v>Відділ збуту</v>
      </c>
      <c r="I42" s="12">
        <f t="shared" si="1"/>
        <v>64</v>
      </c>
      <c r="J42" s="12" t="str">
        <f t="shared" si="2"/>
        <v>так</v>
      </c>
      <c r="K42" s="11">
        <v>42233</v>
      </c>
      <c r="L42" s="11"/>
      <c r="M42" s="16" t="str">
        <f t="shared" si="3"/>
        <v>7р.4м.15д.</v>
      </c>
      <c r="N42" s="12"/>
      <c r="O42" s="4"/>
      <c r="P42" s="4"/>
      <c r="Q42" s="1">
        <f t="shared" si="4"/>
        <v>71</v>
      </c>
      <c r="R42" s="1"/>
    </row>
    <row r="43" spans="1:18" ht="14.25" customHeight="1">
      <c r="A43" s="1"/>
      <c r="B43" s="10">
        <v>26</v>
      </c>
      <c r="C43" s="14" t="s">
        <v>261</v>
      </c>
      <c r="D43" s="12" t="s">
        <v>262</v>
      </c>
      <c r="E43" s="12" t="s">
        <v>174</v>
      </c>
      <c r="F43" s="11">
        <v>21994</v>
      </c>
      <c r="G43" s="12" t="str">
        <f t="shared" si="0"/>
        <v>чоловіча</v>
      </c>
      <c r="H43" s="12" t="str">
        <f>VLOOKUP(_xlfn.CONCAT(C43," ",D43," ",E43),Відділи!B48:C147,2,FALSE)</f>
        <v>Відділ збуту</v>
      </c>
      <c r="I43" s="12">
        <f t="shared" si="1"/>
        <v>47</v>
      </c>
      <c r="J43" s="12" t="str">
        <f t="shared" si="2"/>
        <v>ні</v>
      </c>
      <c r="K43" s="11">
        <v>39257</v>
      </c>
      <c r="L43" s="11"/>
      <c r="M43" s="16" t="str">
        <f t="shared" si="3"/>
        <v>15р.6м.8д.</v>
      </c>
      <c r="N43" s="12"/>
      <c r="O43" s="4"/>
      <c r="P43" s="4"/>
      <c r="Q43" s="1">
        <f t="shared" si="4"/>
        <v>62</v>
      </c>
      <c r="R43" s="1"/>
    </row>
    <row r="44" spans="1:18" ht="14.25" customHeight="1">
      <c r="A44" s="1"/>
      <c r="B44" s="10">
        <v>27</v>
      </c>
      <c r="C44" s="14" t="s">
        <v>297</v>
      </c>
      <c r="D44" s="12" t="s">
        <v>205</v>
      </c>
      <c r="E44" s="12" t="s">
        <v>174</v>
      </c>
      <c r="F44" s="11">
        <v>26823</v>
      </c>
      <c r="G44" s="12" t="str">
        <f t="shared" si="0"/>
        <v>чоловіча</v>
      </c>
      <c r="H44" s="12" t="str">
        <f>VLOOKUP(_xlfn.CONCAT(C44," ",D44," ",E44),Відділи!B66:C165,2,FALSE)</f>
        <v>Відділ збуту</v>
      </c>
      <c r="I44" s="12">
        <f t="shared" si="1"/>
        <v>40</v>
      </c>
      <c r="J44" s="12" t="str">
        <f t="shared" si="2"/>
        <v>ні</v>
      </c>
      <c r="K44" s="11">
        <v>41626</v>
      </c>
      <c r="L44" s="11">
        <v>42166</v>
      </c>
      <c r="M44" s="16" t="str">
        <f t="shared" si="3"/>
        <v>1р.5м.24д.</v>
      </c>
      <c r="N44" s="12" t="s">
        <v>37</v>
      </c>
      <c r="O44" s="4"/>
      <c r="P44" s="4"/>
      <c r="Q44" s="1">
        <f t="shared" si="4"/>
        <v>49</v>
      </c>
      <c r="R44" s="1"/>
    </row>
    <row r="45" spans="1:18" ht="14.25" customHeight="1">
      <c r="A45" s="1"/>
      <c r="B45" s="10">
        <v>28</v>
      </c>
      <c r="C45" s="14" t="s">
        <v>186</v>
      </c>
      <c r="D45" s="12" t="s">
        <v>187</v>
      </c>
      <c r="E45" s="12" t="s">
        <v>188</v>
      </c>
      <c r="F45" s="11">
        <v>31506</v>
      </c>
      <c r="G45" s="12" t="str">
        <f t="shared" si="0"/>
        <v>чоловіча</v>
      </c>
      <c r="H45" s="12" t="str">
        <f>VLOOKUP(_xlfn.CONCAT(C45," ",D45," ",E45),Відділи!B15:C114,2,FALSE)</f>
        <v>Відділ збуту</v>
      </c>
      <c r="I45" s="12">
        <f t="shared" si="1"/>
        <v>24</v>
      </c>
      <c r="J45" s="12" t="str">
        <f t="shared" si="2"/>
        <v>ні</v>
      </c>
      <c r="K45" s="11">
        <v>40377</v>
      </c>
      <c r="L45" s="11">
        <v>42856</v>
      </c>
      <c r="M45" s="16" t="str">
        <f t="shared" si="3"/>
        <v>6р.9м.13д.</v>
      </c>
      <c r="N45" s="12" t="s">
        <v>39</v>
      </c>
      <c r="O45" s="4"/>
      <c r="P45" s="4"/>
      <c r="Q45" s="1">
        <f t="shared" si="4"/>
        <v>36</v>
      </c>
      <c r="R45" s="1"/>
    </row>
    <row r="46" spans="1:18" ht="14.25" customHeight="1">
      <c r="A46" s="1"/>
      <c r="B46" s="10">
        <v>29</v>
      </c>
      <c r="C46" s="14" t="s">
        <v>314</v>
      </c>
      <c r="D46" s="12" t="s">
        <v>205</v>
      </c>
      <c r="E46" s="12" t="s">
        <v>209</v>
      </c>
      <c r="F46" s="11">
        <v>23629</v>
      </c>
      <c r="G46" s="12" t="str">
        <f t="shared" si="0"/>
        <v>чоловіча</v>
      </c>
      <c r="H46" s="12" t="str">
        <f>VLOOKUP(_xlfn.CONCAT(C46," ",D46," ",E46),Відділи!B77:C176,2,FALSE)</f>
        <v>Відділ кадрів</v>
      </c>
      <c r="I46" s="12">
        <f t="shared" si="1"/>
        <v>50</v>
      </c>
      <c r="J46" s="12" t="str">
        <f t="shared" si="2"/>
        <v>ні</v>
      </c>
      <c r="K46" s="11">
        <v>41945</v>
      </c>
      <c r="L46" s="11"/>
      <c r="M46" s="16" t="str">
        <f t="shared" si="3"/>
        <v>8р.1м.30д.</v>
      </c>
      <c r="N46" s="12"/>
      <c r="O46" s="4"/>
      <c r="P46" s="4"/>
      <c r="Q46" s="1">
        <f t="shared" si="4"/>
        <v>58</v>
      </c>
      <c r="R46" s="1"/>
    </row>
    <row r="47" spans="1:18" ht="14.25" customHeight="1">
      <c r="A47" s="1"/>
      <c r="B47" s="10">
        <v>30</v>
      </c>
      <c r="C47" s="14" t="s">
        <v>170</v>
      </c>
      <c r="D47" s="12" t="s">
        <v>171</v>
      </c>
      <c r="E47" s="12" t="s">
        <v>172</v>
      </c>
      <c r="F47" s="11">
        <v>32759</v>
      </c>
      <c r="G47" s="12" t="str">
        <f t="shared" si="0"/>
        <v>чоловіча</v>
      </c>
      <c r="H47" s="12" t="str">
        <f>VLOOKUP(_xlfn.CONCAT(C47," ",D47," ",E47),Відділи!B9:C108,2,FALSE)</f>
        <v>Відділ кадрів</v>
      </c>
      <c r="I47" s="12">
        <f t="shared" si="1"/>
        <v>19</v>
      </c>
      <c r="J47" s="12" t="str">
        <f t="shared" si="2"/>
        <v>ні</v>
      </c>
      <c r="K47" s="11">
        <v>39706</v>
      </c>
      <c r="L47" s="11">
        <v>42633</v>
      </c>
      <c r="M47" s="16" t="str">
        <f t="shared" si="3"/>
        <v>8р.0м.5д.</v>
      </c>
      <c r="N47" s="12" t="s">
        <v>45</v>
      </c>
      <c r="O47" s="4"/>
      <c r="P47" s="4"/>
      <c r="Q47" s="1">
        <f t="shared" si="4"/>
        <v>33</v>
      </c>
      <c r="R47" s="1"/>
    </row>
    <row r="48" spans="1:18" ht="14.25" customHeight="1">
      <c r="A48" s="1"/>
      <c r="B48" s="10">
        <v>31</v>
      </c>
      <c r="C48" s="14" t="s">
        <v>271</v>
      </c>
      <c r="D48" s="12" t="s">
        <v>272</v>
      </c>
      <c r="E48" s="12" t="s">
        <v>174</v>
      </c>
      <c r="F48" s="11">
        <v>28427</v>
      </c>
      <c r="G48" s="12" t="str">
        <f t="shared" si="0"/>
        <v>чоловіча</v>
      </c>
      <c r="H48" s="12" t="str">
        <f>VLOOKUP(_xlfn.CONCAT(C48," ",D48," ",E48),Відділи!B52:C151,2,FALSE)</f>
        <v>Відділ кадрів</v>
      </c>
      <c r="I48" s="12">
        <f t="shared" si="1"/>
        <v>35</v>
      </c>
      <c r="J48" s="12" t="str">
        <f t="shared" si="2"/>
        <v>ні</v>
      </c>
      <c r="K48" s="11">
        <v>41306</v>
      </c>
      <c r="L48" s="11">
        <v>43946</v>
      </c>
      <c r="M48" s="16" t="str">
        <f t="shared" si="3"/>
        <v>7р.2м.24д.</v>
      </c>
      <c r="N48" s="12" t="s">
        <v>60</v>
      </c>
      <c r="O48" s="4"/>
      <c r="P48" s="4"/>
      <c r="Q48" s="1">
        <f t="shared" si="4"/>
        <v>45</v>
      </c>
      <c r="R48" s="1"/>
    </row>
    <row r="49" spans="1:18" ht="14.25" customHeight="1">
      <c r="A49" s="1"/>
      <c r="B49" s="10">
        <v>32</v>
      </c>
      <c r="C49" s="14" t="s">
        <v>248</v>
      </c>
      <c r="D49" s="12" t="s">
        <v>249</v>
      </c>
      <c r="E49" s="12" t="s">
        <v>250</v>
      </c>
      <c r="F49" s="11">
        <v>33477</v>
      </c>
      <c r="G49" s="12" t="str">
        <f t="shared" si="0"/>
        <v>жіноча</v>
      </c>
      <c r="H49" s="12" t="str">
        <f>VLOOKUP(_xlfn.CONCAT(C49," ",D49," ",E49),Відділи!B42:C141,2,FALSE)</f>
        <v>Відділ кадрів</v>
      </c>
      <c r="I49" s="12">
        <f t="shared" si="1"/>
        <v>16</v>
      </c>
      <c r="J49" s="12" t="str">
        <f t="shared" si="2"/>
        <v>ні</v>
      </c>
      <c r="K49" s="11">
        <v>39514</v>
      </c>
      <c r="L49" s="11">
        <v>39699</v>
      </c>
      <c r="M49" s="16" t="str">
        <f t="shared" si="3"/>
        <v>0р.6м.1д.</v>
      </c>
      <c r="N49" s="12" t="s">
        <v>45</v>
      </c>
      <c r="O49" s="4"/>
      <c r="P49" s="4"/>
      <c r="Q49" s="1">
        <f t="shared" si="4"/>
        <v>31</v>
      </c>
      <c r="R49" s="1"/>
    </row>
    <row r="50" spans="1:18" ht="14.25" customHeight="1">
      <c r="A50" s="1"/>
      <c r="B50" s="10">
        <v>33</v>
      </c>
      <c r="C50" s="14" t="s">
        <v>327</v>
      </c>
      <c r="D50" s="12" t="s">
        <v>328</v>
      </c>
      <c r="E50" s="12" t="s">
        <v>329</v>
      </c>
      <c r="F50" s="11">
        <v>15393</v>
      </c>
      <c r="G50" s="12" t="str">
        <f t="shared" ref="G50:G81" si="5">IF(ISNUMBER(SEARCH("вна",E50)),"жіноча","чоловіча")</f>
        <v>жіноча</v>
      </c>
      <c r="H50" s="12" t="str">
        <f>VLOOKUP(_xlfn.CONCAT(C50," ",D50," ",E50),Відділи!B84:C183,2,FALSE)</f>
        <v>Відділ кадрів</v>
      </c>
      <c r="I50" s="12">
        <f t="shared" ref="I50:I81" si="6">DATEDIF(F50,K50,"Y")</f>
        <v>69</v>
      </c>
      <c r="J50" s="12" t="str">
        <f t="shared" ref="J50:J81" si="7">IF(I50&gt;=60,"так","ні")</f>
        <v>так</v>
      </c>
      <c r="K50" s="11">
        <v>40697</v>
      </c>
      <c r="L50" s="11">
        <v>44045</v>
      </c>
      <c r="M50" s="16" t="str">
        <f t="shared" ref="M50:M81" si="8">IF(L50="",_xlfn.CONCAT(DATEDIF(K50,$F$14,"Y"),"р.", DATEDIF(K50,$F$14,"ym"),"м.", DATEDIF(K50,$F$14,"md"),"д."),_xlfn.CONCAT(DATEDIF(K50,L50,"Y"),"р.", DATEDIF(K50,L50,"ym"),"м.", DATEDIF(K50,L50,"md"),"д."))</f>
        <v>9р.1м.30д.</v>
      </c>
      <c r="N50" s="12" t="s">
        <v>39</v>
      </c>
      <c r="O50" s="4"/>
      <c r="P50" s="4"/>
      <c r="Q50" s="1">
        <f t="shared" si="4"/>
        <v>80</v>
      </c>
      <c r="R50" s="1"/>
    </row>
    <row r="51" spans="1:18" ht="14.25" customHeight="1">
      <c r="A51" s="1"/>
      <c r="B51" s="10">
        <v>34</v>
      </c>
      <c r="C51" s="14" t="s">
        <v>243</v>
      </c>
      <c r="D51" s="12" t="s">
        <v>244</v>
      </c>
      <c r="E51" s="12" t="s">
        <v>196</v>
      </c>
      <c r="F51" s="11">
        <v>25911</v>
      </c>
      <c r="G51" s="12" t="str">
        <f t="shared" si="5"/>
        <v>жіноча</v>
      </c>
      <c r="H51" s="12" t="str">
        <f>VLOOKUP(_xlfn.CONCAT(C51," ",D51," ",E51),Відділи!B40:C139,2,FALSE)</f>
        <v>Відділ кадрів</v>
      </c>
      <c r="I51" s="12">
        <f t="shared" si="6"/>
        <v>36</v>
      </c>
      <c r="J51" s="12" t="str">
        <f t="shared" si="7"/>
        <v>ні</v>
      </c>
      <c r="K51" s="11">
        <v>39097</v>
      </c>
      <c r="L51" s="11">
        <v>39334</v>
      </c>
      <c r="M51" s="16" t="str">
        <f t="shared" si="8"/>
        <v>0р.7м.25д.</v>
      </c>
      <c r="N51" s="12" t="s">
        <v>37</v>
      </c>
      <c r="O51" s="4"/>
      <c r="P51" s="4"/>
      <c r="Q51" s="1">
        <f t="shared" si="4"/>
        <v>52</v>
      </c>
      <c r="R51" s="1"/>
    </row>
    <row r="52" spans="1:18" ht="14.25" customHeight="1">
      <c r="A52" s="1"/>
      <c r="B52" s="10">
        <v>35</v>
      </c>
      <c r="C52" s="14" t="s">
        <v>277</v>
      </c>
      <c r="D52" s="12" t="s">
        <v>278</v>
      </c>
      <c r="E52" s="12" t="s">
        <v>279</v>
      </c>
      <c r="F52" s="11">
        <v>27879</v>
      </c>
      <c r="G52" s="12" t="str">
        <f t="shared" si="5"/>
        <v>жіноча</v>
      </c>
      <c r="H52" s="12" t="str">
        <f>VLOOKUP(_xlfn.CONCAT(C52," ",D52," ",E52),Відділи!B55:C154,2,FALSE)</f>
        <v>Відділ кадрів</v>
      </c>
      <c r="I52" s="12">
        <f t="shared" si="6"/>
        <v>38</v>
      </c>
      <c r="J52" s="12" t="str">
        <f t="shared" si="7"/>
        <v>ні</v>
      </c>
      <c r="K52" s="11">
        <v>41913</v>
      </c>
      <c r="L52" s="11"/>
      <c r="M52" s="16" t="str">
        <f t="shared" si="8"/>
        <v>8р.3м.0д.</v>
      </c>
      <c r="N52" s="12"/>
      <c r="O52" s="4"/>
      <c r="P52" s="4"/>
      <c r="Q52" s="1">
        <f t="shared" si="4"/>
        <v>46</v>
      </c>
      <c r="R52" s="1"/>
    </row>
    <row r="53" spans="1:18" ht="14.25" customHeight="1">
      <c r="A53" s="1"/>
      <c r="B53" s="10">
        <v>36</v>
      </c>
      <c r="C53" s="14" t="s">
        <v>302</v>
      </c>
      <c r="D53" s="12" t="s">
        <v>182</v>
      </c>
      <c r="E53" s="12" t="s">
        <v>157</v>
      </c>
      <c r="F53" s="11">
        <v>29875</v>
      </c>
      <c r="G53" s="12" t="str">
        <f t="shared" si="5"/>
        <v>жіноча</v>
      </c>
      <c r="H53" s="12" t="str">
        <f>VLOOKUP(_xlfn.CONCAT(C53," ",D53," ",E53),Відділи!B70:C169,2,FALSE)</f>
        <v>Відділ кадрів</v>
      </c>
      <c r="I53" s="12">
        <f t="shared" si="6"/>
        <v>25</v>
      </c>
      <c r="J53" s="12" t="str">
        <f t="shared" si="7"/>
        <v>ні</v>
      </c>
      <c r="K53" s="11">
        <v>39321</v>
      </c>
      <c r="L53" s="11"/>
      <c r="M53" s="16" t="str">
        <f t="shared" si="8"/>
        <v>15р.4м.5д.</v>
      </c>
      <c r="N53" s="12"/>
      <c r="O53" s="4"/>
      <c r="P53" s="4"/>
      <c r="Q53" s="1">
        <f t="shared" si="4"/>
        <v>41</v>
      </c>
      <c r="R53" s="1"/>
    </row>
    <row r="54" spans="1:18" ht="14.25" customHeight="1">
      <c r="A54" s="1"/>
      <c r="B54" s="10">
        <v>37</v>
      </c>
      <c r="C54" s="14" t="s">
        <v>251</v>
      </c>
      <c r="D54" s="12" t="s">
        <v>203</v>
      </c>
      <c r="E54" s="12" t="s">
        <v>154</v>
      </c>
      <c r="F54" s="11">
        <v>21710</v>
      </c>
      <c r="G54" s="12" t="str">
        <f t="shared" si="5"/>
        <v>чоловіча</v>
      </c>
      <c r="H54" s="12" t="str">
        <f>VLOOKUP(_xlfn.CONCAT(C54," ",D54," ",E54),Відділи!B43:C142,2,FALSE)</f>
        <v>Відділ кадрів</v>
      </c>
      <c r="I54" s="12">
        <f t="shared" si="6"/>
        <v>50</v>
      </c>
      <c r="J54" s="12" t="str">
        <f t="shared" si="7"/>
        <v>ні</v>
      </c>
      <c r="K54" s="11">
        <v>40186</v>
      </c>
      <c r="L54" s="11">
        <v>42650</v>
      </c>
      <c r="M54" s="16" t="str">
        <f t="shared" si="8"/>
        <v>6р.8м.29д.</v>
      </c>
      <c r="N54" s="12" t="s">
        <v>37</v>
      </c>
      <c r="O54" s="4"/>
      <c r="P54" s="4"/>
      <c r="Q54" s="1">
        <f t="shared" si="4"/>
        <v>63</v>
      </c>
      <c r="R54" s="1"/>
    </row>
    <row r="55" spans="1:18" ht="14.25" customHeight="1">
      <c r="A55" s="1"/>
      <c r="B55" s="10">
        <v>38</v>
      </c>
      <c r="C55" s="14" t="s">
        <v>234</v>
      </c>
      <c r="D55" s="12" t="s">
        <v>205</v>
      </c>
      <c r="E55" s="12" t="s">
        <v>188</v>
      </c>
      <c r="F55" s="11">
        <v>21569</v>
      </c>
      <c r="G55" s="12" t="str">
        <f t="shared" si="5"/>
        <v>чоловіча</v>
      </c>
      <c r="H55" s="12" t="str">
        <f>VLOOKUP(_xlfn.CONCAT(C55," ",D55," ",E55),Відділи!B35:C134,2,FALSE)</f>
        <v>Господарський відділ</v>
      </c>
      <c r="I55" s="12">
        <f t="shared" si="6"/>
        <v>55</v>
      </c>
      <c r="J55" s="12" t="str">
        <f t="shared" si="7"/>
        <v>ні</v>
      </c>
      <c r="K55" s="11">
        <v>41721</v>
      </c>
      <c r="L55" s="11">
        <v>43575</v>
      </c>
      <c r="M55" s="16" t="str">
        <f t="shared" si="8"/>
        <v>5р.0м.28д.</v>
      </c>
      <c r="N55" s="12" t="s">
        <v>39</v>
      </c>
      <c r="O55" s="4"/>
      <c r="P55" s="4"/>
      <c r="Q55" s="1">
        <f t="shared" si="4"/>
        <v>63</v>
      </c>
      <c r="R55" s="1"/>
    </row>
    <row r="56" spans="1:18" ht="14.25" customHeight="1">
      <c r="A56" s="1"/>
      <c r="B56" s="10">
        <v>39</v>
      </c>
      <c r="C56" s="14" t="s">
        <v>338</v>
      </c>
      <c r="D56" s="12" t="s">
        <v>339</v>
      </c>
      <c r="E56" s="12" t="s">
        <v>260</v>
      </c>
      <c r="F56" s="11">
        <v>30489</v>
      </c>
      <c r="G56" s="12" t="str">
        <f t="shared" si="5"/>
        <v>жіноча</v>
      </c>
      <c r="H56" s="12" t="str">
        <f>VLOOKUP(_xlfn.CONCAT(C56," ",D56," ",E56),Відділи!B90:C189,2,FALSE)</f>
        <v>Господарський відділ</v>
      </c>
      <c r="I56" s="12">
        <f t="shared" si="6"/>
        <v>26</v>
      </c>
      <c r="J56" s="12" t="str">
        <f t="shared" si="7"/>
        <v>ні</v>
      </c>
      <c r="K56" s="11">
        <v>40313</v>
      </c>
      <c r="L56" s="11"/>
      <c r="M56" s="16" t="str">
        <f t="shared" si="8"/>
        <v>12р.7м.17д.</v>
      </c>
      <c r="N56" s="12"/>
      <c r="O56" s="4"/>
      <c r="P56" s="4"/>
      <c r="Q56" s="1">
        <f t="shared" si="4"/>
        <v>39</v>
      </c>
      <c r="R56" s="1"/>
    </row>
    <row r="57" spans="1:18" ht="14.25" customHeight="1">
      <c r="A57" s="1"/>
      <c r="B57" s="10">
        <v>40</v>
      </c>
      <c r="C57" s="14" t="s">
        <v>342</v>
      </c>
      <c r="D57" s="12" t="s">
        <v>343</v>
      </c>
      <c r="E57" s="12" t="s">
        <v>344</v>
      </c>
      <c r="F57" s="11">
        <v>31700</v>
      </c>
      <c r="G57" s="12" t="str">
        <f t="shared" si="5"/>
        <v>чоловіча</v>
      </c>
      <c r="H57" s="12" t="str">
        <f>VLOOKUP(_xlfn.CONCAT(C57," ",D57," ",E57),Відділи!B93:C192,2,FALSE)</f>
        <v>Господарський відділ</v>
      </c>
      <c r="I57" s="12">
        <f t="shared" si="6"/>
        <v>24</v>
      </c>
      <c r="J57" s="12" t="str">
        <f t="shared" si="7"/>
        <v>ні</v>
      </c>
      <c r="K57" s="11">
        <v>40505</v>
      </c>
      <c r="L57" s="11">
        <v>44492</v>
      </c>
      <c r="M57" s="16" t="str">
        <f t="shared" si="8"/>
        <v>10р.11м.0д.</v>
      </c>
      <c r="N57" s="12" t="s">
        <v>56</v>
      </c>
      <c r="O57" s="4"/>
      <c r="P57" s="4"/>
      <c r="Q57" s="1">
        <f t="shared" si="4"/>
        <v>36</v>
      </c>
      <c r="R57" s="1"/>
    </row>
    <row r="58" spans="1:18" ht="14.25" customHeight="1">
      <c r="A58" s="1"/>
      <c r="B58" s="10">
        <v>41</v>
      </c>
      <c r="C58" s="14" t="s">
        <v>274</v>
      </c>
      <c r="D58" s="12" t="s">
        <v>275</v>
      </c>
      <c r="E58" s="12" t="s">
        <v>276</v>
      </c>
      <c r="F58" s="11">
        <v>30057</v>
      </c>
      <c r="G58" s="12" t="str">
        <f t="shared" si="5"/>
        <v>жіноча</v>
      </c>
      <c r="H58" s="12" t="str">
        <f>VLOOKUP(_xlfn.CONCAT(C58," ",D58," ",E58),Відділи!B54:C153,2,FALSE)</f>
        <v>Господарський відділ</v>
      </c>
      <c r="I58" s="12">
        <f t="shared" si="6"/>
        <v>27</v>
      </c>
      <c r="J58" s="12" t="str">
        <f t="shared" si="7"/>
        <v>ні</v>
      </c>
      <c r="K58" s="11">
        <v>40218</v>
      </c>
      <c r="L58" s="11">
        <v>43883</v>
      </c>
      <c r="M58" s="16" t="str">
        <f t="shared" si="8"/>
        <v>10р.0м.13д.</v>
      </c>
      <c r="N58" s="12" t="s">
        <v>39</v>
      </c>
      <c r="O58" s="4"/>
      <c r="P58" s="4"/>
      <c r="Q58" s="1">
        <f t="shared" si="4"/>
        <v>40</v>
      </c>
      <c r="R58" s="1"/>
    </row>
    <row r="59" spans="1:18" ht="14.25" customHeight="1">
      <c r="A59" s="1"/>
      <c r="B59" s="10">
        <v>42</v>
      </c>
      <c r="C59" s="14" t="s">
        <v>215</v>
      </c>
      <c r="D59" s="12" t="s">
        <v>216</v>
      </c>
      <c r="E59" s="12" t="s">
        <v>217</v>
      </c>
      <c r="F59" s="11">
        <v>27653</v>
      </c>
      <c r="G59" s="12" t="str">
        <f t="shared" si="5"/>
        <v>жіноча</v>
      </c>
      <c r="H59" s="12" t="str">
        <f>VLOOKUP(_xlfn.CONCAT(C59," ",D59," ",E59),Відділи!B27:C126,2,FALSE)</f>
        <v>Господарський відділ</v>
      </c>
      <c r="I59" s="12">
        <f t="shared" si="6"/>
        <v>34</v>
      </c>
      <c r="J59" s="12" t="str">
        <f t="shared" si="7"/>
        <v>ні</v>
      </c>
      <c r="K59" s="11">
        <v>40154</v>
      </c>
      <c r="L59" s="11">
        <v>42329</v>
      </c>
      <c r="M59" s="16" t="str">
        <f t="shared" si="8"/>
        <v>5р.11м.14д.</v>
      </c>
      <c r="N59" s="12" t="s">
        <v>39</v>
      </c>
      <c r="O59" s="4"/>
      <c r="P59" s="4"/>
      <c r="Q59" s="1">
        <f t="shared" si="4"/>
        <v>47</v>
      </c>
      <c r="R59" s="1"/>
    </row>
    <row r="60" spans="1:18" ht="14.25" customHeight="1">
      <c r="A60" s="1"/>
      <c r="B60" s="10">
        <v>43</v>
      </c>
      <c r="C60" s="14" t="s">
        <v>208</v>
      </c>
      <c r="D60" s="12" t="s">
        <v>168</v>
      </c>
      <c r="E60" s="12" t="s">
        <v>209</v>
      </c>
      <c r="F60" s="11">
        <v>17031</v>
      </c>
      <c r="G60" s="12" t="str">
        <f t="shared" si="5"/>
        <v>чоловіча</v>
      </c>
      <c r="H60" s="12" t="str">
        <f>VLOOKUP(_xlfn.CONCAT(C60," ",D60," ",E60),Відділи!B24:C123,2,FALSE)</f>
        <v>Господарський відділ</v>
      </c>
      <c r="I60" s="12">
        <f t="shared" si="6"/>
        <v>67</v>
      </c>
      <c r="J60" s="12" t="str">
        <f t="shared" si="7"/>
        <v>так</v>
      </c>
      <c r="K60" s="11">
        <v>41753</v>
      </c>
      <c r="L60" s="11">
        <v>42085</v>
      </c>
      <c r="M60" s="16" t="str">
        <f t="shared" si="8"/>
        <v>0р.10м.26д.</v>
      </c>
      <c r="N60" s="12" t="s">
        <v>45</v>
      </c>
      <c r="O60" s="4"/>
      <c r="P60" s="4"/>
      <c r="Q60" s="1">
        <f t="shared" si="4"/>
        <v>76</v>
      </c>
      <c r="R60" s="1"/>
    </row>
    <row r="61" spans="1:18" ht="14.25" customHeight="1">
      <c r="A61" s="1"/>
      <c r="B61" s="10">
        <v>44</v>
      </c>
      <c r="C61" s="14" t="s">
        <v>252</v>
      </c>
      <c r="D61" s="12" t="s">
        <v>253</v>
      </c>
      <c r="E61" s="12" t="s">
        <v>254</v>
      </c>
      <c r="F61" s="11">
        <v>29095</v>
      </c>
      <c r="G61" s="12" t="str">
        <f t="shared" si="5"/>
        <v>чоловіча</v>
      </c>
      <c r="H61" s="12" t="str">
        <f>VLOOKUP(_xlfn.CONCAT(C61," ",D61," ",E61),Відділи!B44:C143,2,FALSE)</f>
        <v>Господарський відділ</v>
      </c>
      <c r="I61" s="12">
        <f t="shared" si="6"/>
        <v>34</v>
      </c>
      <c r="J61" s="12" t="str">
        <f t="shared" si="7"/>
        <v>ні</v>
      </c>
      <c r="K61" s="11">
        <v>41658</v>
      </c>
      <c r="L61" s="11">
        <v>42149</v>
      </c>
      <c r="M61" s="16" t="str">
        <f t="shared" si="8"/>
        <v>1р.4м.6д.</v>
      </c>
      <c r="N61" s="12" t="s">
        <v>76</v>
      </c>
      <c r="O61" s="4"/>
      <c r="P61" s="4"/>
      <c r="Q61" s="1">
        <f t="shared" si="4"/>
        <v>43</v>
      </c>
      <c r="R61" s="1"/>
    </row>
    <row r="62" spans="1:18" ht="14.25" customHeight="1">
      <c r="A62" s="1"/>
      <c r="B62" s="10">
        <v>45</v>
      </c>
      <c r="C62" s="14" t="s">
        <v>348</v>
      </c>
      <c r="D62" s="12" t="s">
        <v>349</v>
      </c>
      <c r="E62" s="12" t="s">
        <v>350</v>
      </c>
      <c r="F62" s="11">
        <v>28324</v>
      </c>
      <c r="G62" s="12" t="str">
        <f t="shared" si="5"/>
        <v>чоловіча</v>
      </c>
      <c r="H62" s="12" t="str">
        <f>VLOOKUP(_xlfn.CONCAT(C62," ",D62," ",E62),Відділи!B97:C196,2,FALSE)</f>
        <v>Господарський відділ</v>
      </c>
      <c r="I62" s="12">
        <f t="shared" si="6"/>
        <v>33</v>
      </c>
      <c r="J62" s="12" t="str">
        <f t="shared" si="7"/>
        <v>ні</v>
      </c>
      <c r="K62" s="11">
        <v>40441</v>
      </c>
      <c r="L62" s="11">
        <v>43414</v>
      </c>
      <c r="M62" s="16" t="str">
        <f t="shared" si="8"/>
        <v>8р.1м.21д.</v>
      </c>
      <c r="N62" s="12" t="s">
        <v>39</v>
      </c>
      <c r="O62" s="4"/>
      <c r="P62" s="4"/>
      <c r="Q62" s="1">
        <f t="shared" si="4"/>
        <v>45</v>
      </c>
      <c r="R62" s="1"/>
    </row>
    <row r="63" spans="1:18" ht="14.25" customHeight="1">
      <c r="A63" s="1"/>
      <c r="B63" s="10">
        <v>46</v>
      </c>
      <c r="C63" s="14" t="s">
        <v>164</v>
      </c>
      <c r="D63" s="12" t="s">
        <v>165</v>
      </c>
      <c r="E63" s="12" t="s">
        <v>166</v>
      </c>
      <c r="F63" s="11">
        <v>14246</v>
      </c>
      <c r="G63" s="12" t="str">
        <f t="shared" si="5"/>
        <v>чоловіча</v>
      </c>
      <c r="H63" s="12" t="str">
        <f>VLOOKUP(_xlfn.CONCAT(C63," ",D63," ",E63),Відділи!B7:C106,2,FALSE)</f>
        <v>Господарський відділ</v>
      </c>
      <c r="I63" s="12">
        <f t="shared" si="6"/>
        <v>75</v>
      </c>
      <c r="J63" s="12" t="str">
        <f t="shared" si="7"/>
        <v>так</v>
      </c>
      <c r="K63" s="11">
        <v>41881</v>
      </c>
      <c r="L63" s="11">
        <v>43076</v>
      </c>
      <c r="M63" s="16" t="str">
        <f t="shared" si="8"/>
        <v>3р.3м.7д.</v>
      </c>
      <c r="N63" s="12" t="s">
        <v>39</v>
      </c>
      <c r="O63" s="4"/>
      <c r="P63" s="4"/>
      <c r="Q63" s="1">
        <f t="shared" si="4"/>
        <v>84</v>
      </c>
      <c r="R63" s="1"/>
    </row>
    <row r="64" spans="1:18" ht="14.25" customHeight="1">
      <c r="A64" s="1"/>
      <c r="B64" s="10">
        <v>47</v>
      </c>
      <c r="C64" s="14" t="s">
        <v>178</v>
      </c>
      <c r="D64" s="12" t="s">
        <v>179</v>
      </c>
      <c r="E64" s="12" t="s">
        <v>180</v>
      </c>
      <c r="F64" s="11">
        <v>19494</v>
      </c>
      <c r="G64" s="12" t="str">
        <f t="shared" si="5"/>
        <v>чоловіча</v>
      </c>
      <c r="H64" s="12" t="str">
        <f>VLOOKUP(_xlfn.CONCAT(C64," ",D64," ",E64),Відділи!B12:C111,2,FALSE)</f>
        <v>Господарський відділ</v>
      </c>
      <c r="I64" s="12">
        <f t="shared" si="6"/>
        <v>59</v>
      </c>
      <c r="J64" s="12" t="str">
        <f t="shared" si="7"/>
        <v>ні</v>
      </c>
      <c r="K64" s="11">
        <v>41114</v>
      </c>
      <c r="L64" s="11">
        <v>44251</v>
      </c>
      <c r="M64" s="16" t="str">
        <f t="shared" si="8"/>
        <v>8р.7м.0д.</v>
      </c>
      <c r="N64" s="12" t="s">
        <v>39</v>
      </c>
      <c r="O64" s="4"/>
      <c r="P64" s="4"/>
      <c r="Q64" s="1">
        <f t="shared" si="4"/>
        <v>69</v>
      </c>
      <c r="R64" s="1"/>
    </row>
    <row r="65" spans="1:18" ht="14.25" customHeight="1">
      <c r="A65" s="1"/>
      <c r="B65" s="10">
        <v>48</v>
      </c>
      <c r="C65" s="14" t="s">
        <v>223</v>
      </c>
      <c r="D65" s="12" t="s">
        <v>203</v>
      </c>
      <c r="E65" s="12" t="s">
        <v>224</v>
      </c>
      <c r="F65" s="11">
        <v>33895</v>
      </c>
      <c r="G65" s="12" t="str">
        <f t="shared" si="5"/>
        <v>чоловіча</v>
      </c>
      <c r="H65" s="12" t="str">
        <f>VLOOKUP(_xlfn.CONCAT(C65," ",D65," ",E65),Відділи!B30:C129,2,FALSE)</f>
        <v>Дирекція</v>
      </c>
      <c r="I65" s="12">
        <f t="shared" si="6"/>
        <v>16</v>
      </c>
      <c r="J65" s="12" t="str">
        <f t="shared" si="7"/>
        <v>ні</v>
      </c>
      <c r="K65" s="11">
        <v>39898</v>
      </c>
      <c r="L65" s="11">
        <v>39910</v>
      </c>
      <c r="M65" s="16" t="str">
        <f t="shared" si="8"/>
        <v>0р.0м.12д.</v>
      </c>
      <c r="N65" s="12" t="s">
        <v>39</v>
      </c>
      <c r="O65" s="4"/>
      <c r="P65" s="4"/>
      <c r="Q65" s="1">
        <f t="shared" si="4"/>
        <v>30</v>
      </c>
      <c r="R65" s="1"/>
    </row>
    <row r="66" spans="1:18" ht="14.25" customHeight="1">
      <c r="A66" s="1"/>
      <c r="B66" s="10">
        <v>49</v>
      </c>
      <c r="C66" s="14" t="s">
        <v>333</v>
      </c>
      <c r="D66" s="12" t="s">
        <v>334</v>
      </c>
      <c r="E66" s="12" t="s">
        <v>279</v>
      </c>
      <c r="F66" s="11">
        <v>33108</v>
      </c>
      <c r="G66" s="12" t="str">
        <f t="shared" si="5"/>
        <v>жіноча</v>
      </c>
      <c r="H66" s="12" t="str">
        <f>VLOOKUP(_xlfn.CONCAT(C66," ",D66," ",E66),Відділи!B87:C186,2,FALSE)</f>
        <v>Дирекція</v>
      </c>
      <c r="I66" s="12">
        <f t="shared" si="6"/>
        <v>23</v>
      </c>
      <c r="J66" s="12" t="str">
        <f t="shared" si="7"/>
        <v>ні</v>
      </c>
      <c r="K66" s="11">
        <v>41562</v>
      </c>
      <c r="L66" s="11"/>
      <c r="M66" s="16" t="str">
        <f t="shared" si="8"/>
        <v>9р.2м.17д.</v>
      </c>
      <c r="N66" s="12"/>
      <c r="O66" s="4"/>
      <c r="P66" s="4"/>
      <c r="Q66" s="1">
        <f t="shared" si="4"/>
        <v>32</v>
      </c>
      <c r="R66" s="1"/>
    </row>
    <row r="67" spans="1:18" ht="14.25" customHeight="1">
      <c r="A67" s="1"/>
      <c r="B67" s="10">
        <v>50</v>
      </c>
      <c r="C67" s="14" t="s">
        <v>231</v>
      </c>
      <c r="D67" s="12" t="s">
        <v>232</v>
      </c>
      <c r="E67" s="12" t="s">
        <v>233</v>
      </c>
      <c r="F67" s="11">
        <v>22516</v>
      </c>
      <c r="G67" s="12" t="str">
        <f t="shared" si="5"/>
        <v>чоловіча</v>
      </c>
      <c r="H67" s="12" t="str">
        <f>VLOOKUP(_xlfn.CONCAT(C67," ",D67," ",E67),Відділи!B34:C133,2,FALSE)</f>
        <v>Дирекція</v>
      </c>
      <c r="I67" s="12">
        <f t="shared" si="6"/>
        <v>46</v>
      </c>
      <c r="J67" s="12" t="str">
        <f t="shared" si="7"/>
        <v>ні</v>
      </c>
      <c r="K67" s="11">
        <v>39674</v>
      </c>
      <c r="L67" s="11">
        <v>42213</v>
      </c>
      <c r="M67" s="16" t="str">
        <f t="shared" si="8"/>
        <v>6р.11м.14д.</v>
      </c>
      <c r="N67" s="12" t="s">
        <v>37</v>
      </c>
      <c r="O67" s="4"/>
      <c r="P67" s="4"/>
      <c r="Q67" s="1">
        <f t="shared" si="4"/>
        <v>61</v>
      </c>
      <c r="R67" s="1"/>
    </row>
    <row r="68" spans="1:18" ht="14.25" customHeight="1">
      <c r="A68" s="1"/>
      <c r="B68" s="10">
        <v>51</v>
      </c>
      <c r="C68" s="14" t="s">
        <v>298</v>
      </c>
      <c r="D68" s="12" t="s">
        <v>299</v>
      </c>
      <c r="E68" s="12" t="s">
        <v>270</v>
      </c>
      <c r="F68" s="11">
        <v>28525</v>
      </c>
      <c r="G68" s="12" t="str">
        <f t="shared" si="5"/>
        <v>жіноча</v>
      </c>
      <c r="H68" s="12" t="str">
        <f>VLOOKUP(_xlfn.CONCAT(C68," ",D68," ",E68),Відділи!B67:C166,2,FALSE)</f>
        <v>Дирекція</v>
      </c>
      <c r="I68" s="12">
        <f t="shared" si="6"/>
        <v>32</v>
      </c>
      <c r="J68" s="12" t="str">
        <f t="shared" si="7"/>
        <v>ні</v>
      </c>
      <c r="K68" s="11">
        <v>40473</v>
      </c>
      <c r="L68" s="11">
        <v>41983</v>
      </c>
      <c r="M68" s="16" t="str">
        <f t="shared" si="8"/>
        <v>4р.1м.18д.</v>
      </c>
      <c r="N68" s="12" t="s">
        <v>39</v>
      </c>
      <c r="O68" s="4"/>
      <c r="P68" s="4"/>
      <c r="Q68" s="1">
        <f t="shared" si="4"/>
        <v>44</v>
      </c>
      <c r="R68" s="1"/>
    </row>
    <row r="69" spans="1:18" ht="14.25" customHeight="1">
      <c r="A69" s="1"/>
      <c r="B69" s="10">
        <v>52</v>
      </c>
      <c r="C69" s="14" t="s">
        <v>283</v>
      </c>
      <c r="D69" s="12" t="s">
        <v>284</v>
      </c>
      <c r="E69" s="12" t="s">
        <v>157</v>
      </c>
      <c r="F69" s="11">
        <v>24147</v>
      </c>
      <c r="G69" s="12" t="str">
        <f t="shared" si="5"/>
        <v>жіноча</v>
      </c>
      <c r="H69" s="12" t="str">
        <f>VLOOKUP(_xlfn.CONCAT(C69," ",D69," ",E69),Відділи!B58:C157,2,FALSE)</f>
        <v>Дирекція</v>
      </c>
      <c r="I69" s="12">
        <f t="shared" si="6"/>
        <v>45</v>
      </c>
      <c r="J69" s="12" t="str">
        <f t="shared" si="7"/>
        <v>ні</v>
      </c>
      <c r="K69" s="11">
        <v>40857</v>
      </c>
      <c r="L69" s="11">
        <v>42512</v>
      </c>
      <c r="M69" s="16" t="str">
        <f t="shared" si="8"/>
        <v>4р.6м.12д.</v>
      </c>
      <c r="N69" s="12" t="s">
        <v>39</v>
      </c>
      <c r="O69" s="4"/>
      <c r="P69" s="4"/>
      <c r="Q69" s="1">
        <f t="shared" si="4"/>
        <v>56</v>
      </c>
      <c r="R69" s="1"/>
    </row>
    <row r="70" spans="1:18" ht="14.25" customHeight="1">
      <c r="A70" s="1"/>
      <c r="B70" s="10">
        <v>53</v>
      </c>
      <c r="C70" s="14" t="s">
        <v>167</v>
      </c>
      <c r="D70" s="12" t="s">
        <v>168</v>
      </c>
      <c r="E70" s="12" t="s">
        <v>169</v>
      </c>
      <c r="F70" s="11">
        <v>21218</v>
      </c>
      <c r="G70" s="12" t="str">
        <f t="shared" si="5"/>
        <v>чоловіча</v>
      </c>
      <c r="H70" s="12" t="str">
        <f>VLOOKUP(_xlfn.CONCAT(C70," ",D70," ",E70),Відділи!B8:C107,2,FALSE)</f>
        <v>Дирекція</v>
      </c>
      <c r="I70" s="12">
        <f t="shared" si="6"/>
        <v>54</v>
      </c>
      <c r="J70" s="12" t="str">
        <f t="shared" si="7"/>
        <v>ні</v>
      </c>
      <c r="K70" s="11">
        <v>41210</v>
      </c>
      <c r="L70" s="11">
        <v>43091</v>
      </c>
      <c r="M70" s="16" t="str">
        <f t="shared" si="8"/>
        <v>5р.1м.24д.</v>
      </c>
      <c r="N70" s="12" t="s">
        <v>39</v>
      </c>
      <c r="O70" s="4"/>
      <c r="P70" s="4"/>
      <c r="Q70" s="1">
        <f t="shared" si="4"/>
        <v>64</v>
      </c>
      <c r="R70" s="1"/>
    </row>
    <row r="71" spans="1:18" ht="14.25" customHeight="1">
      <c r="A71" s="1"/>
      <c r="B71" s="10">
        <v>54</v>
      </c>
      <c r="C71" s="14" t="s">
        <v>295</v>
      </c>
      <c r="D71" s="12" t="s">
        <v>165</v>
      </c>
      <c r="E71" s="12" t="s">
        <v>296</v>
      </c>
      <c r="F71" s="11">
        <v>23710</v>
      </c>
      <c r="G71" s="12" t="str">
        <f t="shared" si="5"/>
        <v>чоловіча</v>
      </c>
      <c r="H71" s="12" t="str">
        <f>VLOOKUP(_xlfn.CONCAT(C71," ",D71," ",E71),Відділи!B65:C164,2,FALSE)</f>
        <v>Дирекція</v>
      </c>
      <c r="I71" s="12">
        <f t="shared" si="6"/>
        <v>50</v>
      </c>
      <c r="J71" s="12" t="str">
        <f t="shared" si="7"/>
        <v>ні</v>
      </c>
      <c r="K71" s="11">
        <v>42105</v>
      </c>
      <c r="L71" s="11">
        <v>42627</v>
      </c>
      <c r="M71" s="16" t="str">
        <f t="shared" si="8"/>
        <v>1р.5м.3д.</v>
      </c>
      <c r="N71" s="12" t="s">
        <v>39</v>
      </c>
      <c r="O71" s="4"/>
      <c r="P71" s="4"/>
      <c r="Q71" s="1">
        <f t="shared" si="4"/>
        <v>58</v>
      </c>
      <c r="R71" s="1"/>
    </row>
    <row r="72" spans="1:18" ht="14.25" customHeight="1">
      <c r="A72" s="1"/>
      <c r="B72" s="10">
        <v>55</v>
      </c>
      <c r="C72" s="14" t="s">
        <v>238</v>
      </c>
      <c r="D72" s="12" t="s">
        <v>190</v>
      </c>
      <c r="E72" s="12" t="s">
        <v>239</v>
      </c>
      <c r="F72" s="11">
        <v>13685</v>
      </c>
      <c r="G72" s="12" t="str">
        <f t="shared" si="5"/>
        <v>жіноча</v>
      </c>
      <c r="H72" s="12" t="str">
        <f>VLOOKUP(_xlfn.CONCAT(C72," ",D72," ",E72),Відділи!B38:C137,2,FALSE)</f>
        <v>Дирекція</v>
      </c>
      <c r="I72" s="12">
        <f t="shared" si="6"/>
        <v>72</v>
      </c>
      <c r="J72" s="12" t="str">
        <f t="shared" si="7"/>
        <v>так</v>
      </c>
      <c r="K72" s="11">
        <v>39994</v>
      </c>
      <c r="L72" s="11">
        <v>40350</v>
      </c>
      <c r="M72" s="16" t="str">
        <f t="shared" si="8"/>
        <v>0р.11м.22д.</v>
      </c>
      <c r="N72" s="12" t="s">
        <v>37</v>
      </c>
      <c r="O72" s="4"/>
      <c r="P72" s="4"/>
      <c r="Q72" s="1">
        <f t="shared" si="4"/>
        <v>85</v>
      </c>
      <c r="R72" s="1"/>
    </row>
    <row r="73" spans="1:18" ht="14.25" customHeight="1">
      <c r="A73" s="1"/>
      <c r="B73" s="10">
        <v>56</v>
      </c>
      <c r="C73" s="14" t="s">
        <v>189</v>
      </c>
      <c r="D73" s="12" t="s">
        <v>190</v>
      </c>
      <c r="E73" s="12" t="s">
        <v>191</v>
      </c>
      <c r="F73" s="11">
        <v>23831</v>
      </c>
      <c r="G73" s="12" t="str">
        <f t="shared" si="5"/>
        <v>жіноча</v>
      </c>
      <c r="H73" s="12" t="str">
        <f>VLOOKUP(_xlfn.CONCAT(C73," ",D73," ",E73),Відділи!B16:C115,2,FALSE)</f>
        <v>Дирекція</v>
      </c>
      <c r="I73" s="12">
        <f t="shared" si="6"/>
        <v>42</v>
      </c>
      <c r="J73" s="12" t="str">
        <f t="shared" si="7"/>
        <v>ні</v>
      </c>
      <c r="K73" s="11">
        <v>39385</v>
      </c>
      <c r="L73" s="11">
        <v>42249</v>
      </c>
      <c r="M73" s="16" t="str">
        <f t="shared" si="8"/>
        <v>7р.10м.3д.</v>
      </c>
      <c r="N73" s="12" t="s">
        <v>45</v>
      </c>
      <c r="O73" s="4"/>
      <c r="P73" s="4"/>
      <c r="Q73" s="1">
        <f t="shared" si="4"/>
        <v>57</v>
      </c>
      <c r="R73" s="1"/>
    </row>
    <row r="74" spans="1:18" ht="14.25" customHeight="1">
      <c r="A74" s="1"/>
      <c r="B74" s="10">
        <v>57</v>
      </c>
      <c r="C74" s="14" t="s">
        <v>347</v>
      </c>
      <c r="D74" s="12" t="s">
        <v>153</v>
      </c>
      <c r="E74" s="12" t="s">
        <v>166</v>
      </c>
      <c r="F74" s="11">
        <v>29826</v>
      </c>
      <c r="G74" s="12" t="str">
        <f t="shared" si="5"/>
        <v>чоловіча</v>
      </c>
      <c r="H74" s="12" t="str">
        <f>VLOOKUP(_xlfn.CONCAT(C74," ",D74," ",E74),Відділи!B96:C195,2,FALSE)</f>
        <v>Дирекція</v>
      </c>
      <c r="I74" s="12">
        <f t="shared" si="6"/>
        <v>27</v>
      </c>
      <c r="J74" s="12" t="str">
        <f t="shared" si="7"/>
        <v>ні</v>
      </c>
      <c r="K74" s="11">
        <v>39770</v>
      </c>
      <c r="L74" s="11">
        <v>42842</v>
      </c>
      <c r="M74" s="16" t="str">
        <f t="shared" si="8"/>
        <v>8р.4м.30д.</v>
      </c>
      <c r="N74" s="12" t="s">
        <v>45</v>
      </c>
      <c r="O74" s="4"/>
      <c r="P74" s="4"/>
      <c r="Q74" s="1">
        <f t="shared" si="4"/>
        <v>41</v>
      </c>
      <c r="R74" s="1"/>
    </row>
    <row r="75" spans="1:18" ht="14.25" customHeight="1">
      <c r="A75" s="1"/>
      <c r="B75" s="10">
        <v>58</v>
      </c>
      <c r="C75" s="14" t="s">
        <v>318</v>
      </c>
      <c r="D75" s="12" t="s">
        <v>203</v>
      </c>
      <c r="E75" s="12" t="s">
        <v>169</v>
      </c>
      <c r="F75" s="11">
        <v>17065</v>
      </c>
      <c r="G75" s="12" t="str">
        <f t="shared" si="5"/>
        <v>чоловіча</v>
      </c>
      <c r="H75" s="12" t="str">
        <f>VLOOKUP(_xlfn.CONCAT(C75," ",D75," ",E75),Відділи!B79:C178,2,FALSE)</f>
        <v>Маркетинговий відділ</v>
      </c>
      <c r="I75" s="12">
        <f t="shared" si="6"/>
        <v>67</v>
      </c>
      <c r="J75" s="12" t="str">
        <f t="shared" si="7"/>
        <v>так</v>
      </c>
      <c r="K75" s="11">
        <v>41785</v>
      </c>
      <c r="L75" s="11"/>
      <c r="M75" s="16" t="str">
        <f t="shared" si="8"/>
        <v>8р.7м.6д.</v>
      </c>
      <c r="N75" s="12"/>
      <c r="O75" s="4"/>
      <c r="P75" s="4"/>
      <c r="Q75" s="1">
        <f t="shared" si="4"/>
        <v>76</v>
      </c>
      <c r="R75" s="1"/>
    </row>
    <row r="76" spans="1:18" ht="14.25" customHeight="1">
      <c r="A76" s="1"/>
      <c r="B76" s="10">
        <v>59</v>
      </c>
      <c r="C76" s="14" t="s">
        <v>158</v>
      </c>
      <c r="D76" s="12" t="s">
        <v>159</v>
      </c>
      <c r="E76" s="12" t="s">
        <v>160</v>
      </c>
      <c r="F76" s="11">
        <v>29167</v>
      </c>
      <c r="G76" s="12" t="str">
        <f t="shared" si="5"/>
        <v>жіноча</v>
      </c>
      <c r="H76" s="12" t="str">
        <f>VLOOKUP(_xlfn.CONCAT(C76," ",D76," ",E76),Відділи!B5:C104,2,FALSE)</f>
        <v>Маркетинговий відділ</v>
      </c>
      <c r="I76" s="12">
        <f t="shared" si="6"/>
        <v>28</v>
      </c>
      <c r="J76" s="12" t="str">
        <f t="shared" si="7"/>
        <v>ні</v>
      </c>
      <c r="K76" s="11">
        <v>39610</v>
      </c>
      <c r="L76" s="11">
        <v>43357</v>
      </c>
      <c r="M76" s="16" t="str">
        <f t="shared" si="8"/>
        <v>10р.3м.3д.</v>
      </c>
      <c r="N76" s="12" t="s">
        <v>37</v>
      </c>
      <c r="O76" s="4"/>
      <c r="P76" s="4"/>
      <c r="Q76" s="1">
        <f t="shared" si="4"/>
        <v>43</v>
      </c>
      <c r="R76" s="1"/>
    </row>
    <row r="77" spans="1:18" ht="14.25" customHeight="1">
      <c r="A77" s="1"/>
      <c r="B77" s="10">
        <v>60</v>
      </c>
      <c r="C77" s="14" t="s">
        <v>332</v>
      </c>
      <c r="D77" s="12" t="s">
        <v>281</v>
      </c>
      <c r="E77" s="12" t="s">
        <v>296</v>
      </c>
      <c r="F77" s="11">
        <v>28938</v>
      </c>
      <c r="G77" s="12" t="str">
        <f t="shared" si="5"/>
        <v>чоловіча</v>
      </c>
      <c r="H77" s="12" t="str">
        <f>VLOOKUP(_xlfn.CONCAT(C77," ",D77," ",E77),Відділи!B86:C185,2,FALSE)</f>
        <v>Маркетинговий відділ</v>
      </c>
      <c r="I77" s="12">
        <f t="shared" si="6"/>
        <v>35</v>
      </c>
      <c r="J77" s="12" t="str">
        <f t="shared" si="7"/>
        <v>ні</v>
      </c>
      <c r="K77" s="11">
        <v>41817</v>
      </c>
      <c r="L77" s="11"/>
      <c r="M77" s="16" t="str">
        <f t="shared" si="8"/>
        <v>8р.6м.5д.</v>
      </c>
      <c r="N77" s="12"/>
      <c r="O77" s="4"/>
      <c r="P77" s="4"/>
      <c r="Q77" s="1">
        <f t="shared" si="4"/>
        <v>43</v>
      </c>
      <c r="R77" s="1"/>
    </row>
    <row r="78" spans="1:18" ht="14.25" customHeight="1">
      <c r="A78" s="1"/>
      <c r="B78" s="10">
        <v>61</v>
      </c>
      <c r="C78" s="14" t="s">
        <v>310</v>
      </c>
      <c r="D78" s="12" t="s">
        <v>246</v>
      </c>
      <c r="E78" s="12" t="s">
        <v>166</v>
      </c>
      <c r="F78" s="11">
        <v>31922</v>
      </c>
      <c r="G78" s="12" t="str">
        <f t="shared" si="5"/>
        <v>чоловіча</v>
      </c>
      <c r="H78" s="12" t="str">
        <f>VLOOKUP(_xlfn.CONCAT(C78," ",D78," ",E78),Відділи!B74:C173,2,FALSE)</f>
        <v>Маркетинговий відділ</v>
      </c>
      <c r="I78" s="12">
        <f t="shared" si="6"/>
        <v>24</v>
      </c>
      <c r="J78" s="12" t="str">
        <f t="shared" si="7"/>
        <v>ні</v>
      </c>
      <c r="K78" s="11">
        <v>41018</v>
      </c>
      <c r="L78" s="11">
        <v>43608</v>
      </c>
      <c r="M78" s="16" t="str">
        <f t="shared" si="8"/>
        <v>7р.1м.4д.</v>
      </c>
      <c r="N78" s="12" t="s">
        <v>45</v>
      </c>
      <c r="O78" s="4"/>
      <c r="P78" s="4"/>
      <c r="Q78" s="1">
        <f t="shared" si="4"/>
        <v>35</v>
      </c>
      <c r="R78" s="1"/>
    </row>
    <row r="79" spans="1:18" ht="14.25" customHeight="1">
      <c r="A79" s="1"/>
      <c r="B79" s="10">
        <v>62</v>
      </c>
      <c r="C79" s="14" t="s">
        <v>206</v>
      </c>
      <c r="D79" s="12" t="s">
        <v>165</v>
      </c>
      <c r="E79" s="12" t="s">
        <v>207</v>
      </c>
      <c r="F79" s="11">
        <v>21341</v>
      </c>
      <c r="G79" s="12" t="str">
        <f t="shared" si="5"/>
        <v>чоловіча</v>
      </c>
      <c r="H79" s="12" t="str">
        <f>VLOOKUP(_xlfn.CONCAT(C79," ",D79," ",E79),Відділи!B23:C122,2,FALSE)</f>
        <v>Маркетинговий відділ</v>
      </c>
      <c r="I79" s="12">
        <f t="shared" si="6"/>
        <v>52</v>
      </c>
      <c r="J79" s="12" t="str">
        <f t="shared" si="7"/>
        <v>ні</v>
      </c>
      <c r="K79" s="11">
        <v>40569</v>
      </c>
      <c r="L79" s="11">
        <v>43935</v>
      </c>
      <c r="M79" s="16" t="str">
        <f t="shared" si="8"/>
        <v>9р.2м.19д.</v>
      </c>
      <c r="N79" s="12" t="s">
        <v>37</v>
      </c>
      <c r="O79" s="4"/>
      <c r="P79" s="4"/>
      <c r="Q79" s="1">
        <f t="shared" si="4"/>
        <v>64</v>
      </c>
      <c r="R79" s="1"/>
    </row>
    <row r="80" spans="1:18" ht="14.25" customHeight="1">
      <c r="A80" s="1"/>
      <c r="B80" s="10">
        <v>63</v>
      </c>
      <c r="C80" s="14" t="s">
        <v>287</v>
      </c>
      <c r="D80" s="12" t="s">
        <v>153</v>
      </c>
      <c r="E80" s="12" t="s">
        <v>254</v>
      </c>
      <c r="F80" s="11">
        <v>32683</v>
      </c>
      <c r="G80" s="12" t="str">
        <f t="shared" si="5"/>
        <v>чоловіча</v>
      </c>
      <c r="H80" s="12" t="str">
        <f>VLOOKUP(_xlfn.CONCAT(C80," ",D80," ",E80),Відділи!B60:C159,2,FALSE)</f>
        <v>Маркетинговий відділ</v>
      </c>
      <c r="I80" s="12">
        <f t="shared" si="6"/>
        <v>20</v>
      </c>
      <c r="J80" s="12" t="str">
        <f t="shared" si="7"/>
        <v>ні</v>
      </c>
      <c r="K80" s="11">
        <v>40281</v>
      </c>
      <c r="L80" s="11"/>
      <c r="M80" s="16" t="str">
        <f t="shared" si="8"/>
        <v>12р.8м.19д.</v>
      </c>
      <c r="N80" s="12"/>
      <c r="O80" s="4"/>
      <c r="P80" s="4"/>
      <c r="Q80" s="1">
        <f t="shared" si="4"/>
        <v>33</v>
      </c>
      <c r="R80" s="1"/>
    </row>
    <row r="81" spans="1:18" ht="14.25" customHeight="1">
      <c r="A81" s="1"/>
      <c r="B81" s="10">
        <v>64</v>
      </c>
      <c r="C81" s="14" t="s">
        <v>210</v>
      </c>
      <c r="D81" s="12" t="s">
        <v>211</v>
      </c>
      <c r="E81" s="12" t="s">
        <v>212</v>
      </c>
      <c r="F81" s="11">
        <v>31330</v>
      </c>
      <c r="G81" s="12" t="str">
        <f t="shared" si="5"/>
        <v>чоловіча</v>
      </c>
      <c r="H81" s="12" t="str">
        <f>VLOOKUP(_xlfn.CONCAT(C81," ",D81," ",E81),Відділи!B25:C124,2,FALSE)</f>
        <v>Маркетинговий відділ</v>
      </c>
      <c r="I81" s="12">
        <f t="shared" si="6"/>
        <v>26</v>
      </c>
      <c r="J81" s="12" t="str">
        <f t="shared" si="7"/>
        <v>ні</v>
      </c>
      <c r="K81" s="11">
        <v>41082</v>
      </c>
      <c r="L81" s="11">
        <v>43222</v>
      </c>
      <c r="M81" s="16" t="str">
        <f t="shared" si="8"/>
        <v>5р.10м.10д.</v>
      </c>
      <c r="N81" s="12" t="s">
        <v>60</v>
      </c>
      <c r="O81" s="4"/>
      <c r="P81" s="4"/>
      <c r="Q81" s="1">
        <f t="shared" si="4"/>
        <v>37</v>
      </c>
      <c r="R81" s="1"/>
    </row>
    <row r="82" spans="1:18" ht="14.25" customHeight="1">
      <c r="A82" s="1"/>
      <c r="B82" s="10">
        <v>65</v>
      </c>
      <c r="C82" s="14" t="s">
        <v>204</v>
      </c>
      <c r="D82" s="12" t="s">
        <v>205</v>
      </c>
      <c r="E82" s="12" t="s">
        <v>166</v>
      </c>
      <c r="F82" s="11">
        <v>24172</v>
      </c>
      <c r="G82" s="12" t="str">
        <f t="shared" ref="G82:G117" si="9">IF(ISNUMBER(SEARCH("вна",E82)),"жіноча","чоловіча")</f>
        <v>чоловіча</v>
      </c>
      <c r="H82" s="12" t="str">
        <f>VLOOKUP(_xlfn.CONCAT(C82," ",D82," ",E82),Відділи!B22:C121,2,FALSE)</f>
        <v>Маркетинговий відділ</v>
      </c>
      <c r="I82" s="12">
        <f t="shared" ref="I82:I117" si="10">DATEDIF(F82,K82,"Y")</f>
        <v>45</v>
      </c>
      <c r="J82" s="12" t="str">
        <f t="shared" ref="J82:J113" si="11">IF(I82&gt;=60,"так","ні")</f>
        <v>ні</v>
      </c>
      <c r="K82" s="11">
        <v>40793</v>
      </c>
      <c r="L82" s="11">
        <v>41565</v>
      </c>
      <c r="M82" s="16" t="str">
        <f t="shared" ref="M82:M113" si="12">IF(L82="",_xlfn.CONCAT(DATEDIF(K82,$F$14,"Y"),"р.", DATEDIF(K82,$F$14,"ym"),"м.", DATEDIF(K82,$F$14,"md"),"д."),_xlfn.CONCAT(DATEDIF(K82,L82,"Y"),"р.", DATEDIF(K82,L82,"ym"),"м.", DATEDIF(K82,L82,"md"),"д."))</f>
        <v>2р.1м.11д.</v>
      </c>
      <c r="N82" s="12" t="s">
        <v>60</v>
      </c>
      <c r="O82" s="4"/>
      <c r="P82" s="4"/>
      <c r="Q82" s="1">
        <f t="shared" si="4"/>
        <v>56</v>
      </c>
      <c r="R82" s="1"/>
    </row>
    <row r="83" spans="1:18" ht="14.25" customHeight="1">
      <c r="A83" s="1"/>
      <c r="B83" s="10">
        <v>66</v>
      </c>
      <c r="C83" s="14" t="s">
        <v>300</v>
      </c>
      <c r="D83" s="12" t="s">
        <v>211</v>
      </c>
      <c r="E83" s="12" t="s">
        <v>174</v>
      </c>
      <c r="F83" s="11">
        <v>31356</v>
      </c>
      <c r="G83" s="12" t="str">
        <f t="shared" si="9"/>
        <v>чоловіча</v>
      </c>
      <c r="H83" s="12" t="str">
        <f>VLOOKUP(_xlfn.CONCAT(C83," ",D83," ",E83),Відділи!B68:C167,2,FALSE)</f>
        <v>Маркетинговий відділ</v>
      </c>
      <c r="I83" s="12">
        <f t="shared" si="10"/>
        <v>26</v>
      </c>
      <c r="J83" s="12" t="str">
        <f t="shared" si="11"/>
        <v>ні</v>
      </c>
      <c r="K83" s="11">
        <v>41146</v>
      </c>
      <c r="L83" s="11">
        <v>41619</v>
      </c>
      <c r="M83" s="16" t="str">
        <f t="shared" si="12"/>
        <v>1р.3м.16д.</v>
      </c>
      <c r="N83" s="12" t="s">
        <v>39</v>
      </c>
      <c r="O83" s="4"/>
      <c r="P83" s="4"/>
      <c r="Q83" s="1">
        <f t="shared" ref="Q83:Q117" si="13">DATEDIF(F83,$F$14,"Y")</f>
        <v>37</v>
      </c>
      <c r="R83" s="1"/>
    </row>
    <row r="84" spans="1:18" ht="14.25" customHeight="1">
      <c r="A84" s="1"/>
      <c r="B84" s="10">
        <v>67</v>
      </c>
      <c r="C84" s="14" t="s">
        <v>340</v>
      </c>
      <c r="D84" s="12" t="s">
        <v>320</v>
      </c>
      <c r="E84" s="12" t="s">
        <v>196</v>
      </c>
      <c r="F84" s="11">
        <v>29855</v>
      </c>
      <c r="G84" s="12" t="str">
        <f t="shared" si="9"/>
        <v>жіноча</v>
      </c>
      <c r="H84" s="12" t="str">
        <f>VLOOKUP(_xlfn.CONCAT(C84," ",D84," ",E84),Відділи!B91:C190,2,FALSE)</f>
        <v>Маркетинговий відділ</v>
      </c>
      <c r="I84" s="12">
        <f t="shared" si="10"/>
        <v>27</v>
      </c>
      <c r="J84" s="12" t="str">
        <f t="shared" si="11"/>
        <v>ні</v>
      </c>
      <c r="K84" s="11">
        <v>39866</v>
      </c>
      <c r="L84" s="11">
        <v>40131</v>
      </c>
      <c r="M84" s="16" t="str">
        <f t="shared" si="12"/>
        <v>0р.8м.23д.</v>
      </c>
      <c r="N84" s="12" t="s">
        <v>45</v>
      </c>
      <c r="O84" s="4"/>
      <c r="P84" s="4"/>
      <c r="Q84" s="1">
        <f t="shared" si="13"/>
        <v>41</v>
      </c>
      <c r="R84" s="1"/>
    </row>
    <row r="85" spans="1:18" ht="14.25" customHeight="1">
      <c r="A85" s="1"/>
      <c r="B85" s="10">
        <v>68</v>
      </c>
      <c r="C85" s="14" t="s">
        <v>229</v>
      </c>
      <c r="D85" s="12" t="s">
        <v>168</v>
      </c>
      <c r="E85" s="12" t="s">
        <v>230</v>
      </c>
      <c r="F85" s="11">
        <v>28032</v>
      </c>
      <c r="G85" s="12" t="str">
        <f t="shared" si="9"/>
        <v>чоловіча</v>
      </c>
      <c r="H85" s="12" t="str">
        <f>VLOOKUP(_xlfn.CONCAT(C85," ",D85," ",E85),Відділи!B33:C132,2,FALSE)</f>
        <v>Маркетинговий відділ</v>
      </c>
      <c r="I85" s="12">
        <f t="shared" si="10"/>
        <v>36</v>
      </c>
      <c r="J85" s="12" t="str">
        <f t="shared" si="11"/>
        <v>ні</v>
      </c>
      <c r="K85" s="11">
        <v>41498</v>
      </c>
      <c r="L85" s="11"/>
      <c r="M85" s="16" t="str">
        <f t="shared" si="12"/>
        <v>9р.4м.20д.</v>
      </c>
      <c r="N85" s="12"/>
      <c r="O85" s="4"/>
      <c r="P85" s="4"/>
      <c r="Q85" s="1">
        <f t="shared" si="13"/>
        <v>46</v>
      </c>
      <c r="R85" s="1"/>
    </row>
    <row r="86" spans="1:18" ht="14.25" customHeight="1">
      <c r="A86" s="1"/>
      <c r="B86" s="10">
        <v>69</v>
      </c>
      <c r="C86" s="14" t="s">
        <v>289</v>
      </c>
      <c r="D86" s="12" t="s">
        <v>176</v>
      </c>
      <c r="E86" s="12" t="s">
        <v>290</v>
      </c>
      <c r="F86" s="11">
        <v>29974</v>
      </c>
      <c r="G86" s="12" t="str">
        <f t="shared" si="9"/>
        <v>чоловіча</v>
      </c>
      <c r="H86" s="12" t="str">
        <f>VLOOKUP(_xlfn.CONCAT(C86," ",D86," ",E86),Відділи!B62:C161,2,FALSE)</f>
        <v>Маркетинговий відділ</v>
      </c>
      <c r="I86" s="12">
        <f t="shared" si="10"/>
        <v>28</v>
      </c>
      <c r="J86" s="12" t="str">
        <f t="shared" si="11"/>
        <v>ні</v>
      </c>
      <c r="K86" s="11">
        <v>40537</v>
      </c>
      <c r="L86" s="11"/>
      <c r="M86" s="16" t="str">
        <f t="shared" si="12"/>
        <v>12р.0м.7д.</v>
      </c>
      <c r="N86" s="12"/>
      <c r="O86" s="4"/>
      <c r="P86" s="4"/>
      <c r="Q86" s="1">
        <f t="shared" si="13"/>
        <v>40</v>
      </c>
      <c r="R86" s="1"/>
    </row>
    <row r="87" spans="1:18" ht="14.25" customHeight="1">
      <c r="A87" s="1"/>
      <c r="B87" s="10">
        <v>70</v>
      </c>
      <c r="C87" s="14" t="s">
        <v>226</v>
      </c>
      <c r="D87" s="12" t="s">
        <v>227</v>
      </c>
      <c r="E87" s="12" t="s">
        <v>228</v>
      </c>
      <c r="F87" s="11">
        <v>25737</v>
      </c>
      <c r="G87" s="12" t="str">
        <f t="shared" si="9"/>
        <v>жіноча</v>
      </c>
      <c r="H87" s="12" t="str">
        <f>VLOOKUP(_xlfn.CONCAT(C87," ",D87," ",E87),Відділи!B32:C131,2,FALSE)</f>
        <v>Маркетинговий відділ</v>
      </c>
      <c r="I87" s="12">
        <f t="shared" si="10"/>
        <v>42</v>
      </c>
      <c r="J87" s="12" t="str">
        <f t="shared" si="11"/>
        <v>ні</v>
      </c>
      <c r="K87" s="11">
        <v>41338</v>
      </c>
      <c r="L87" s="11">
        <v>44270</v>
      </c>
      <c r="M87" s="16" t="str">
        <f t="shared" si="12"/>
        <v>8р.0м.10д.</v>
      </c>
      <c r="N87" s="12" t="s">
        <v>45</v>
      </c>
      <c r="O87" s="4"/>
      <c r="P87" s="4"/>
      <c r="Q87" s="1">
        <f t="shared" si="13"/>
        <v>52</v>
      </c>
      <c r="R87" s="1"/>
    </row>
    <row r="88" spans="1:18" ht="14.25" customHeight="1">
      <c r="A88" s="1"/>
      <c r="B88" s="10">
        <v>71</v>
      </c>
      <c r="C88" s="14" t="s">
        <v>308</v>
      </c>
      <c r="D88" s="12" t="s">
        <v>309</v>
      </c>
      <c r="E88" s="12" t="s">
        <v>270</v>
      </c>
      <c r="F88" s="11">
        <v>33948</v>
      </c>
      <c r="G88" s="12" t="str">
        <f t="shared" si="9"/>
        <v>жіноча</v>
      </c>
      <c r="H88" s="12" t="str">
        <f>VLOOKUP(_xlfn.CONCAT(C88," ",D88," ",E88),Відділи!B73:C172,2,FALSE)</f>
        <v>Фінансовий відділ</v>
      </c>
      <c r="I88" s="12">
        <f t="shared" si="10"/>
        <v>16</v>
      </c>
      <c r="J88" s="12" t="str">
        <f t="shared" si="11"/>
        <v>ні</v>
      </c>
      <c r="K88" s="11">
        <v>39930</v>
      </c>
      <c r="L88" s="11">
        <v>41931</v>
      </c>
      <c r="M88" s="16" t="str">
        <f t="shared" si="12"/>
        <v>5р.5м.22д.</v>
      </c>
      <c r="N88" s="12" t="s">
        <v>45</v>
      </c>
      <c r="O88" s="4"/>
      <c r="P88" s="4"/>
      <c r="Q88" s="1">
        <f t="shared" si="13"/>
        <v>30</v>
      </c>
      <c r="R88" s="1"/>
    </row>
    <row r="89" spans="1:18" ht="14.25" customHeight="1">
      <c r="A89" s="1"/>
      <c r="B89" s="10">
        <v>72</v>
      </c>
      <c r="C89" s="14" t="s">
        <v>301</v>
      </c>
      <c r="D89" s="12" t="s">
        <v>165</v>
      </c>
      <c r="E89" s="12" t="s">
        <v>296</v>
      </c>
      <c r="F89" s="11">
        <v>34631</v>
      </c>
      <c r="G89" s="12" t="str">
        <f t="shared" si="9"/>
        <v>чоловіча</v>
      </c>
      <c r="H89" s="12" t="str">
        <f>VLOOKUP(_xlfn.CONCAT(C89," ",D89," ",E89),Відділи!B69:C168,2,FALSE)</f>
        <v>Фінансовий відділ</v>
      </c>
      <c r="I89" s="12">
        <f t="shared" si="10"/>
        <v>13</v>
      </c>
      <c r="J89" s="12" t="str">
        <f t="shared" si="11"/>
        <v>ні</v>
      </c>
      <c r="K89" s="11">
        <v>39738</v>
      </c>
      <c r="L89" s="11">
        <v>43459</v>
      </c>
      <c r="M89" s="16" t="str">
        <f t="shared" si="12"/>
        <v>10р.2м.8д.</v>
      </c>
      <c r="N89" s="12" t="s">
        <v>60</v>
      </c>
      <c r="O89" s="4"/>
      <c r="P89" s="4"/>
      <c r="Q89" s="1">
        <f t="shared" si="13"/>
        <v>28</v>
      </c>
      <c r="R89" s="1"/>
    </row>
    <row r="90" spans="1:18" ht="14.25" customHeight="1">
      <c r="A90" s="1"/>
      <c r="B90" s="10">
        <v>73</v>
      </c>
      <c r="C90" s="14" t="s">
        <v>155</v>
      </c>
      <c r="D90" s="12" t="s">
        <v>156</v>
      </c>
      <c r="E90" s="12" t="s">
        <v>157</v>
      </c>
      <c r="F90" s="11">
        <v>23852</v>
      </c>
      <c r="G90" s="12" t="str">
        <f t="shared" si="9"/>
        <v>жіноча</v>
      </c>
      <c r="H90" s="12" t="str">
        <f>VLOOKUP(_xlfn.CONCAT(C90," ",D90," ",E90),Відділи!B4:C103,2,FALSE)</f>
        <v>Фінансовий відділ</v>
      </c>
      <c r="I90" s="12">
        <f t="shared" si="10"/>
        <v>47</v>
      </c>
      <c r="J90" s="12" t="str">
        <f t="shared" si="11"/>
        <v>ні</v>
      </c>
      <c r="K90" s="11">
        <v>41050</v>
      </c>
      <c r="L90" s="11">
        <v>44836</v>
      </c>
      <c r="M90" s="16" t="str">
        <f t="shared" si="12"/>
        <v>10р.4м.11д.</v>
      </c>
      <c r="N90" s="12" t="s">
        <v>39</v>
      </c>
      <c r="O90" s="4"/>
      <c r="P90" s="4"/>
      <c r="Q90" s="1">
        <f t="shared" si="13"/>
        <v>57</v>
      </c>
      <c r="R90" s="1"/>
    </row>
    <row r="91" spans="1:18" ht="14.25" customHeight="1">
      <c r="A91" s="1"/>
      <c r="B91" s="10">
        <v>74</v>
      </c>
      <c r="C91" s="14" t="s">
        <v>285</v>
      </c>
      <c r="D91" s="12" t="s">
        <v>241</v>
      </c>
      <c r="E91" s="12" t="s">
        <v>286</v>
      </c>
      <c r="F91" s="11">
        <v>28342</v>
      </c>
      <c r="G91" s="12" t="str">
        <f t="shared" si="9"/>
        <v>чоловіча</v>
      </c>
      <c r="H91" s="12" t="str">
        <f>VLOOKUP(_xlfn.CONCAT(C91," ",D91," ",E91),Відділи!B59:C158,2,FALSE)</f>
        <v>Фінансовий відділ</v>
      </c>
      <c r="I91" s="12">
        <f t="shared" si="10"/>
        <v>29</v>
      </c>
      <c r="J91" s="12" t="str">
        <f t="shared" si="11"/>
        <v>ні</v>
      </c>
      <c r="K91" s="11">
        <v>39289</v>
      </c>
      <c r="L91" s="11"/>
      <c r="M91" s="16" t="str">
        <f t="shared" si="12"/>
        <v>15р.5м.6д.</v>
      </c>
      <c r="N91" s="12"/>
      <c r="O91" s="4"/>
      <c r="P91" s="4"/>
      <c r="Q91" s="1">
        <f t="shared" si="13"/>
        <v>45</v>
      </c>
      <c r="R91" s="1"/>
    </row>
    <row r="92" spans="1:18" ht="14.25" customHeight="1">
      <c r="A92" s="1"/>
      <c r="B92" s="10">
        <v>75</v>
      </c>
      <c r="C92" s="14" t="s">
        <v>341</v>
      </c>
      <c r="D92" s="12" t="s">
        <v>165</v>
      </c>
      <c r="E92" s="12" t="s">
        <v>172</v>
      </c>
      <c r="F92" s="11">
        <v>22944</v>
      </c>
      <c r="G92" s="12" t="str">
        <f t="shared" si="9"/>
        <v>чоловіча</v>
      </c>
      <c r="H92" s="12" t="str">
        <f>VLOOKUP(_xlfn.CONCAT(C92," ",D92," ",E92),Відділи!B92:C191,2,FALSE)</f>
        <v>Фінансовий відділ</v>
      </c>
      <c r="I92" s="12">
        <f t="shared" si="10"/>
        <v>52</v>
      </c>
      <c r="J92" s="12" t="str">
        <f t="shared" si="11"/>
        <v>ні</v>
      </c>
      <c r="K92" s="11">
        <v>42265</v>
      </c>
      <c r="L92" s="11">
        <v>43794</v>
      </c>
      <c r="M92" s="16" t="str">
        <f t="shared" si="12"/>
        <v>4р.2м.7д.</v>
      </c>
      <c r="N92" s="12" t="s">
        <v>39</v>
      </c>
      <c r="O92" s="4"/>
      <c r="P92" s="4"/>
      <c r="Q92" s="1">
        <f t="shared" si="13"/>
        <v>60</v>
      </c>
      <c r="R92" s="1"/>
    </row>
    <row r="93" spans="1:18" ht="14.25" customHeight="1">
      <c r="A93" s="1"/>
      <c r="B93" s="10">
        <v>76</v>
      </c>
      <c r="C93" s="14" t="s">
        <v>345</v>
      </c>
      <c r="D93" s="12" t="s">
        <v>203</v>
      </c>
      <c r="E93" s="12" t="s">
        <v>296</v>
      </c>
      <c r="F93" s="11">
        <v>32729</v>
      </c>
      <c r="G93" s="12" t="str">
        <f t="shared" si="9"/>
        <v>чоловіча</v>
      </c>
      <c r="H93" s="12" t="str">
        <f>VLOOKUP(_xlfn.CONCAT(C93," ",D93," ",E93),Відділи!B94:C193,2,FALSE)</f>
        <v>Фінансовий відділ</v>
      </c>
      <c r="I93" s="12">
        <f t="shared" si="10"/>
        <v>23</v>
      </c>
      <c r="J93" s="12" t="str">
        <f t="shared" si="11"/>
        <v>ні</v>
      </c>
      <c r="K93" s="11">
        <v>41242</v>
      </c>
      <c r="L93" s="11"/>
      <c r="M93" s="16" t="str">
        <f t="shared" si="12"/>
        <v>10р.1м.3д.</v>
      </c>
      <c r="N93" s="12"/>
      <c r="O93" s="4"/>
      <c r="P93" s="4"/>
      <c r="Q93" s="1">
        <f t="shared" si="13"/>
        <v>33</v>
      </c>
      <c r="R93" s="1"/>
    </row>
    <row r="94" spans="1:18" ht="14.25" customHeight="1">
      <c r="A94" s="1"/>
      <c r="B94" s="10">
        <v>77</v>
      </c>
      <c r="C94" s="14" t="s">
        <v>194</v>
      </c>
      <c r="D94" s="12" t="s">
        <v>195</v>
      </c>
      <c r="E94" s="12" t="s">
        <v>196</v>
      </c>
      <c r="F94" s="11">
        <v>19544</v>
      </c>
      <c r="G94" s="12" t="str">
        <f t="shared" si="9"/>
        <v>жіноча</v>
      </c>
      <c r="H94" s="12" t="str">
        <f>VLOOKUP(_xlfn.CONCAT(C94," ",D94," ",E94),Відділи!B18:C117,2,FALSE)</f>
        <v>Фінансовий відділ</v>
      </c>
      <c r="I94" s="12">
        <f t="shared" si="10"/>
        <v>55</v>
      </c>
      <c r="J94" s="12" t="str">
        <f t="shared" si="11"/>
        <v>ні</v>
      </c>
      <c r="K94" s="11">
        <v>39802</v>
      </c>
      <c r="L94" s="11">
        <v>43071</v>
      </c>
      <c r="M94" s="16" t="str">
        <f t="shared" si="12"/>
        <v>8р.11м.12д.</v>
      </c>
      <c r="N94" s="12" t="s">
        <v>39</v>
      </c>
      <c r="O94" s="4"/>
      <c r="P94" s="4"/>
      <c r="Q94" s="1">
        <f t="shared" si="13"/>
        <v>69</v>
      </c>
      <c r="R94" s="1"/>
    </row>
    <row r="95" spans="1:18" ht="14.25" customHeight="1">
      <c r="A95" s="1"/>
      <c r="B95" s="10">
        <v>78</v>
      </c>
      <c r="C95" s="14" t="s">
        <v>303</v>
      </c>
      <c r="D95" s="12" t="s">
        <v>216</v>
      </c>
      <c r="E95" s="12" t="s">
        <v>304</v>
      </c>
      <c r="F95" s="11">
        <v>27048</v>
      </c>
      <c r="G95" s="12" t="str">
        <f t="shared" si="9"/>
        <v>жіноча</v>
      </c>
      <c r="H95" s="12" t="str">
        <f>VLOOKUP(_xlfn.CONCAT(C95," ",D95," ",E95),Відділи!B71:C170,2,FALSE)</f>
        <v>Фінансовий відділ</v>
      </c>
      <c r="I95" s="12">
        <f t="shared" si="10"/>
        <v>35</v>
      </c>
      <c r="J95" s="12" t="str">
        <f t="shared" si="11"/>
        <v>ні</v>
      </c>
      <c r="K95" s="11">
        <v>40026</v>
      </c>
      <c r="L95" s="11">
        <v>41960</v>
      </c>
      <c r="M95" s="16" t="str">
        <f t="shared" si="12"/>
        <v>5р.3м.16д.</v>
      </c>
      <c r="N95" s="12" t="s">
        <v>45</v>
      </c>
      <c r="O95" s="4"/>
      <c r="P95" s="4"/>
      <c r="Q95" s="1">
        <f t="shared" si="13"/>
        <v>48</v>
      </c>
      <c r="R95" s="1"/>
    </row>
    <row r="96" spans="1:18" ht="14.25" customHeight="1">
      <c r="A96" s="1"/>
      <c r="B96" s="10">
        <v>79</v>
      </c>
      <c r="C96" s="14" t="s">
        <v>175</v>
      </c>
      <c r="D96" s="12" t="s">
        <v>176</v>
      </c>
      <c r="E96" s="12" t="s">
        <v>177</v>
      </c>
      <c r="F96" s="11">
        <v>20291</v>
      </c>
      <c r="G96" s="12" t="str">
        <f t="shared" si="9"/>
        <v>чоловіча</v>
      </c>
      <c r="H96" s="12" t="str">
        <f>VLOOKUP(_xlfn.CONCAT(C96," ",D96," ",E96),Відділи!B11:C110,2,FALSE)</f>
        <v>Фінансовий відділ</v>
      </c>
      <c r="I96" s="12">
        <f t="shared" si="10"/>
        <v>59</v>
      </c>
      <c r="J96" s="12" t="str">
        <f t="shared" si="11"/>
        <v>ні</v>
      </c>
      <c r="K96" s="11">
        <v>42009</v>
      </c>
      <c r="L96" s="11"/>
      <c r="M96" s="16" t="str">
        <f t="shared" si="12"/>
        <v>7р.11м.27д.</v>
      </c>
      <c r="N96" s="12"/>
      <c r="O96" s="4"/>
      <c r="P96" s="4"/>
      <c r="Q96" s="1">
        <f t="shared" si="13"/>
        <v>67</v>
      </c>
      <c r="R96" s="1"/>
    </row>
    <row r="97" spans="1:18" ht="14.25" customHeight="1">
      <c r="A97" s="1"/>
      <c r="B97" s="10">
        <v>80</v>
      </c>
      <c r="C97" s="14" t="s">
        <v>313</v>
      </c>
      <c r="D97" s="12" t="s">
        <v>216</v>
      </c>
      <c r="E97" s="12" t="s">
        <v>191</v>
      </c>
      <c r="F97" s="11">
        <v>16300</v>
      </c>
      <c r="G97" s="12" t="str">
        <f t="shared" si="9"/>
        <v>жіноча</v>
      </c>
      <c r="H97" s="12" t="str">
        <f>VLOOKUP(_xlfn.CONCAT(C97," ",D97," ",E97),Відділи!B76:C175,2,FALSE)</f>
        <v>Фінансовий відділ</v>
      </c>
      <c r="I97" s="12">
        <f t="shared" si="10"/>
        <v>62</v>
      </c>
      <c r="J97" s="12" t="str">
        <f t="shared" si="11"/>
        <v>так</v>
      </c>
      <c r="K97" s="11">
        <v>39225</v>
      </c>
      <c r="L97" s="11">
        <v>42975</v>
      </c>
      <c r="M97" s="16" t="str">
        <f t="shared" si="12"/>
        <v>10р.3м.5д.</v>
      </c>
      <c r="N97" s="12" t="s">
        <v>45</v>
      </c>
      <c r="O97" s="4"/>
      <c r="P97" s="4"/>
      <c r="Q97" s="1">
        <f t="shared" si="13"/>
        <v>78</v>
      </c>
      <c r="R97" s="1"/>
    </row>
    <row r="98" spans="1:18" ht="14.25" customHeight="1">
      <c r="A98" s="1"/>
      <c r="B98" s="10">
        <v>81</v>
      </c>
      <c r="C98" s="14" t="s">
        <v>265</v>
      </c>
      <c r="D98" s="12" t="s">
        <v>266</v>
      </c>
      <c r="E98" s="12" t="s">
        <v>267</v>
      </c>
      <c r="F98" s="11">
        <v>33585</v>
      </c>
      <c r="G98" s="12" t="str">
        <f t="shared" si="9"/>
        <v>жіноча</v>
      </c>
      <c r="H98" s="12" t="str">
        <f>VLOOKUP(_xlfn.CONCAT(C98," ",D98," ",E98),Відділи!B50:C149,2,FALSE)</f>
        <v>Фінансовий відділ</v>
      </c>
      <c r="I98" s="12">
        <f t="shared" si="10"/>
        <v>16</v>
      </c>
      <c r="J98" s="12" t="str">
        <f t="shared" si="11"/>
        <v>ні</v>
      </c>
      <c r="K98" s="11">
        <v>39578</v>
      </c>
      <c r="L98" s="11">
        <v>41682</v>
      </c>
      <c r="M98" s="16" t="str">
        <f t="shared" si="12"/>
        <v>5р.9м.2д.</v>
      </c>
      <c r="N98" s="12" t="s">
        <v>39</v>
      </c>
      <c r="O98" s="4"/>
      <c r="P98" s="4"/>
      <c r="Q98" s="1">
        <f t="shared" si="13"/>
        <v>31</v>
      </c>
      <c r="R98" s="1"/>
    </row>
    <row r="99" spans="1:18" ht="14.25" customHeight="1">
      <c r="A99" s="1"/>
      <c r="B99" s="10">
        <v>82</v>
      </c>
      <c r="C99" s="14" t="s">
        <v>337</v>
      </c>
      <c r="D99" s="12" t="s">
        <v>241</v>
      </c>
      <c r="E99" s="12" t="s">
        <v>174</v>
      </c>
      <c r="F99" s="11">
        <v>26695</v>
      </c>
      <c r="G99" s="12" t="str">
        <f t="shared" si="9"/>
        <v>чоловіча</v>
      </c>
      <c r="H99" s="12" t="str">
        <f>VLOOKUP(_xlfn.CONCAT(C99," ",D99," ",E99),Відділи!B89:C188,2,FALSE)</f>
        <v>Фінансовий відділ</v>
      </c>
      <c r="I99" s="12">
        <f t="shared" si="10"/>
        <v>36</v>
      </c>
      <c r="J99" s="12" t="str">
        <f t="shared" si="11"/>
        <v>ні</v>
      </c>
      <c r="K99" s="11">
        <v>40090</v>
      </c>
      <c r="L99" s="11">
        <v>44005</v>
      </c>
      <c r="M99" s="16" t="str">
        <f t="shared" si="12"/>
        <v>10р.8м.19д.</v>
      </c>
      <c r="N99" s="12" t="s">
        <v>45</v>
      </c>
      <c r="O99" s="4"/>
      <c r="P99" s="4"/>
      <c r="Q99" s="1">
        <f t="shared" si="13"/>
        <v>49</v>
      </c>
      <c r="R99" s="1"/>
    </row>
    <row r="100" spans="1:18" ht="14.25" customHeight="1">
      <c r="A100" s="1"/>
      <c r="B100" s="10">
        <v>83</v>
      </c>
      <c r="C100" s="14" t="s">
        <v>273</v>
      </c>
      <c r="D100" s="12" t="s">
        <v>168</v>
      </c>
      <c r="E100" s="12" t="s">
        <v>230</v>
      </c>
      <c r="F100" s="11">
        <v>22881</v>
      </c>
      <c r="G100" s="12" t="str">
        <f t="shared" si="9"/>
        <v>чоловіча</v>
      </c>
      <c r="H100" s="12" t="str">
        <f>VLOOKUP(_xlfn.CONCAT(C100," ",D100," ",E100),Відділи!B53:C152,2,FALSE)</f>
        <v>Фінансовий відділ</v>
      </c>
      <c r="I100" s="12">
        <f t="shared" si="10"/>
        <v>52</v>
      </c>
      <c r="J100" s="12" t="str">
        <f t="shared" si="11"/>
        <v>ні</v>
      </c>
      <c r="K100" s="11">
        <v>42073</v>
      </c>
      <c r="L100" s="11"/>
      <c r="M100" s="16" t="str">
        <f t="shared" si="12"/>
        <v>7р.9м.22д.</v>
      </c>
      <c r="N100" s="12"/>
      <c r="O100" s="4"/>
      <c r="P100" s="4"/>
      <c r="Q100" s="1">
        <f t="shared" si="13"/>
        <v>60</v>
      </c>
      <c r="R100" s="1"/>
    </row>
    <row r="101" spans="1:18" ht="14.25" customHeight="1">
      <c r="A101" s="1"/>
      <c r="B101" s="10">
        <v>84</v>
      </c>
      <c r="C101" s="14" t="s">
        <v>221</v>
      </c>
      <c r="D101" s="12" t="s">
        <v>222</v>
      </c>
      <c r="E101" s="12" t="s">
        <v>157</v>
      </c>
      <c r="F101" s="11">
        <v>27967</v>
      </c>
      <c r="G101" s="12" t="str">
        <f t="shared" si="9"/>
        <v>жіноча</v>
      </c>
      <c r="H101" s="12" t="str">
        <f>VLOOKUP(_xlfn.CONCAT(C101," ",D101," ",E101),Відділи!B29:C128,2,FALSE)</f>
        <v>Фінансовий відділ</v>
      </c>
      <c r="I101" s="12">
        <f t="shared" si="10"/>
        <v>31</v>
      </c>
      <c r="J101" s="12" t="str">
        <f t="shared" si="11"/>
        <v>ні</v>
      </c>
      <c r="K101" s="11">
        <v>39353</v>
      </c>
      <c r="L101" s="11"/>
      <c r="M101" s="16" t="str">
        <f t="shared" si="12"/>
        <v>15р.3м.4д.</v>
      </c>
      <c r="N101" s="12"/>
      <c r="O101" s="4"/>
      <c r="P101" s="4"/>
      <c r="Q101" s="1">
        <f t="shared" si="13"/>
        <v>46</v>
      </c>
      <c r="R101" s="1"/>
    </row>
    <row r="102" spans="1:18" ht="14.25" customHeight="1">
      <c r="A102" s="1"/>
      <c r="B102" s="10">
        <v>85</v>
      </c>
      <c r="C102" s="14" t="s">
        <v>322</v>
      </c>
      <c r="D102" s="12" t="s">
        <v>203</v>
      </c>
      <c r="E102" s="12" t="s">
        <v>166</v>
      </c>
      <c r="F102" s="11">
        <v>27196</v>
      </c>
      <c r="G102" s="12" t="str">
        <f t="shared" si="9"/>
        <v>чоловіча</v>
      </c>
      <c r="H102" s="12" t="str">
        <f>VLOOKUP(_xlfn.CONCAT(C102," ",D102," ",E102),Відділи!B81:C180,2,FALSE)</f>
        <v>Фінансовий відділ</v>
      </c>
      <c r="I102" s="12">
        <f t="shared" si="10"/>
        <v>34</v>
      </c>
      <c r="J102" s="12" t="str">
        <f t="shared" si="11"/>
        <v>ні</v>
      </c>
      <c r="K102" s="11">
        <v>39834</v>
      </c>
      <c r="L102" s="11">
        <v>41200</v>
      </c>
      <c r="M102" s="16" t="str">
        <f t="shared" si="12"/>
        <v>3р.8м.27д.</v>
      </c>
      <c r="N102" s="12" t="s">
        <v>39</v>
      </c>
      <c r="O102" s="4"/>
      <c r="P102" s="4"/>
      <c r="Q102" s="1">
        <f t="shared" si="13"/>
        <v>48</v>
      </c>
      <c r="R102" s="1"/>
    </row>
    <row r="103" spans="1:18" ht="14.25" customHeight="1">
      <c r="A103" s="1"/>
      <c r="B103" s="10">
        <v>86</v>
      </c>
      <c r="C103" s="14" t="s">
        <v>235</v>
      </c>
      <c r="D103" s="12" t="s">
        <v>222</v>
      </c>
      <c r="E103" s="12" t="s">
        <v>157</v>
      </c>
      <c r="F103" s="11">
        <v>25976</v>
      </c>
      <c r="G103" s="12" t="str">
        <f t="shared" si="9"/>
        <v>жіноча</v>
      </c>
      <c r="H103" s="12" t="str">
        <f>VLOOKUP(_xlfn.CONCAT(C103," ",D103," ",E103),Відділи!B36:C135,2,FALSE)</f>
        <v>Фінансовий відділ</v>
      </c>
      <c r="I103" s="12">
        <f t="shared" si="10"/>
        <v>39</v>
      </c>
      <c r="J103" s="12" t="str">
        <f t="shared" si="11"/>
        <v>ні</v>
      </c>
      <c r="K103" s="11">
        <v>40249</v>
      </c>
      <c r="L103" s="11">
        <v>43372</v>
      </c>
      <c r="M103" s="16" t="str">
        <f t="shared" si="12"/>
        <v>8р.6м.17д.</v>
      </c>
      <c r="N103" s="12" t="s">
        <v>39</v>
      </c>
      <c r="O103" s="4"/>
      <c r="P103" s="4"/>
      <c r="Q103" s="1">
        <f t="shared" si="13"/>
        <v>51</v>
      </c>
      <c r="R103" s="1"/>
    </row>
    <row r="104" spans="1:18" ht="14.25" customHeight="1">
      <c r="A104" s="1"/>
      <c r="B104" s="10">
        <v>87</v>
      </c>
      <c r="C104" s="14" t="s">
        <v>288</v>
      </c>
      <c r="D104" s="12" t="s">
        <v>253</v>
      </c>
      <c r="E104" s="12" t="s">
        <v>201</v>
      </c>
      <c r="F104" s="11">
        <v>24551</v>
      </c>
      <c r="G104" s="12" t="str">
        <f t="shared" si="9"/>
        <v>чоловіча</v>
      </c>
      <c r="H104" s="12" t="str">
        <f>VLOOKUP(_xlfn.CONCAT(C104," ",D104," ",E104),Відділи!B61:C160,2,FALSE)</f>
        <v>Фінансовий відділ</v>
      </c>
      <c r="I104" s="12">
        <f t="shared" si="10"/>
        <v>44</v>
      </c>
      <c r="J104" s="12" t="str">
        <f t="shared" si="11"/>
        <v>ні</v>
      </c>
      <c r="K104" s="11">
        <v>40986</v>
      </c>
      <c r="L104" s="11"/>
      <c r="M104" s="16" t="str">
        <f t="shared" si="12"/>
        <v>10р.9м.14д.</v>
      </c>
      <c r="N104" s="12"/>
      <c r="O104" s="4"/>
      <c r="P104" s="4"/>
      <c r="Q104" s="1">
        <f t="shared" si="13"/>
        <v>55</v>
      </c>
      <c r="R104" s="1"/>
    </row>
    <row r="105" spans="1:18" ht="14.25" customHeight="1">
      <c r="A105" s="1"/>
      <c r="B105" s="10">
        <v>88</v>
      </c>
      <c r="C105" s="14" t="s">
        <v>335</v>
      </c>
      <c r="D105" s="12" t="s">
        <v>336</v>
      </c>
      <c r="E105" s="12" t="s">
        <v>183</v>
      </c>
      <c r="F105" s="11">
        <v>20471</v>
      </c>
      <c r="G105" s="12" t="str">
        <f t="shared" si="9"/>
        <v>жіноча</v>
      </c>
      <c r="H105" s="12" t="str">
        <f>VLOOKUP(_xlfn.CONCAT(C105," ",D105," ",E105),Відділи!B88:C187,2,FALSE)</f>
        <v>Фінансовий відділ</v>
      </c>
      <c r="I105" s="12">
        <f t="shared" si="10"/>
        <v>51</v>
      </c>
      <c r="J105" s="12" t="str">
        <f t="shared" si="11"/>
        <v>ні</v>
      </c>
      <c r="K105" s="11">
        <v>39129</v>
      </c>
      <c r="L105" s="11"/>
      <c r="M105" s="16" t="str">
        <f t="shared" si="12"/>
        <v>15р.10м.16д.</v>
      </c>
      <c r="N105" s="12"/>
      <c r="O105" s="4"/>
      <c r="P105" s="4"/>
      <c r="Q105" s="1">
        <f t="shared" si="13"/>
        <v>66</v>
      </c>
      <c r="R105" s="1"/>
    </row>
    <row r="106" spans="1:18" ht="14.25" customHeight="1">
      <c r="A106" s="1"/>
      <c r="B106" s="10">
        <v>89</v>
      </c>
      <c r="C106" s="14" t="s">
        <v>293</v>
      </c>
      <c r="D106" s="12" t="s">
        <v>294</v>
      </c>
      <c r="E106" s="12" t="s">
        <v>154</v>
      </c>
      <c r="F106" s="11">
        <v>23923</v>
      </c>
      <c r="G106" s="12" t="str">
        <f t="shared" si="9"/>
        <v>чоловіча</v>
      </c>
      <c r="H106" s="12" t="str">
        <f>VLOOKUP(_xlfn.CONCAT(C106," ",D106," ",E106),Відділи!B64:C163,2,FALSE)</f>
        <v>Юридичний відділ</v>
      </c>
      <c r="I106" s="12">
        <f t="shared" si="10"/>
        <v>42</v>
      </c>
      <c r="J106" s="12" t="str">
        <f t="shared" si="11"/>
        <v>ні</v>
      </c>
      <c r="K106" s="11">
        <v>39481</v>
      </c>
      <c r="L106" s="11"/>
      <c r="M106" s="16" t="str">
        <f t="shared" si="12"/>
        <v>14р.10м.29д.</v>
      </c>
      <c r="N106" s="12"/>
      <c r="O106" s="4"/>
      <c r="P106" s="4"/>
      <c r="Q106" s="1">
        <f t="shared" si="13"/>
        <v>57</v>
      </c>
      <c r="R106" s="1"/>
    </row>
    <row r="107" spans="1:18" ht="14.25" customHeight="1">
      <c r="A107" s="1"/>
      <c r="B107" s="10">
        <v>90</v>
      </c>
      <c r="C107" s="14" t="s">
        <v>192</v>
      </c>
      <c r="D107" s="12" t="s">
        <v>168</v>
      </c>
      <c r="E107" s="12" t="s">
        <v>193</v>
      </c>
      <c r="F107" s="11">
        <v>32095</v>
      </c>
      <c r="G107" s="12" t="str">
        <f t="shared" si="9"/>
        <v>чоловіча</v>
      </c>
      <c r="H107" s="12" t="str">
        <f>VLOOKUP(_xlfn.CONCAT(C107," ",D107," ",E107),Відділи!B17:C116,2,FALSE)</f>
        <v>Юридичний відділ</v>
      </c>
      <c r="I107" s="12">
        <f t="shared" si="10"/>
        <v>27</v>
      </c>
      <c r="J107" s="12" t="str">
        <f t="shared" si="11"/>
        <v>ні</v>
      </c>
      <c r="K107" s="11">
        <v>42169</v>
      </c>
      <c r="L107" s="11"/>
      <c r="M107" s="16" t="str">
        <f t="shared" si="12"/>
        <v>7р.6м.18д.</v>
      </c>
      <c r="N107" s="12"/>
      <c r="O107" s="4"/>
      <c r="P107" s="4"/>
      <c r="Q107" s="1">
        <f t="shared" si="13"/>
        <v>35</v>
      </c>
      <c r="R107" s="1"/>
    </row>
    <row r="108" spans="1:18" ht="14.25" customHeight="1">
      <c r="A108" s="1"/>
      <c r="B108" s="10">
        <v>91</v>
      </c>
      <c r="C108" s="14" t="s">
        <v>352</v>
      </c>
      <c r="D108" s="12" t="s">
        <v>353</v>
      </c>
      <c r="E108" s="12" t="s">
        <v>174</v>
      </c>
      <c r="F108" s="11">
        <v>23390</v>
      </c>
      <c r="G108" s="12" t="str">
        <f t="shared" si="9"/>
        <v>чоловіча</v>
      </c>
      <c r="H108" s="12" t="str">
        <f>VLOOKUP(_xlfn.CONCAT(C108," ",D108," ",E108),Відділи!B99:C198,2,FALSE)</f>
        <v>Юридичний відділ</v>
      </c>
      <c r="I108" s="12">
        <f t="shared" si="10"/>
        <v>51</v>
      </c>
      <c r="J108" s="12" t="str">
        <f t="shared" si="11"/>
        <v>ні</v>
      </c>
      <c r="K108" s="11">
        <v>42201</v>
      </c>
      <c r="L108" s="11">
        <v>42384</v>
      </c>
      <c r="M108" s="16" t="str">
        <f t="shared" si="12"/>
        <v>0р.5м.30д.</v>
      </c>
      <c r="N108" s="12" t="s">
        <v>37</v>
      </c>
      <c r="O108" s="4"/>
      <c r="P108" s="4"/>
      <c r="Q108" s="1">
        <f t="shared" si="13"/>
        <v>58</v>
      </c>
      <c r="R108" s="1"/>
    </row>
    <row r="109" spans="1:18" ht="14.25" customHeight="1">
      <c r="A109" s="1"/>
      <c r="B109" s="10">
        <v>92</v>
      </c>
      <c r="C109" s="14" t="s">
        <v>325</v>
      </c>
      <c r="D109" s="12" t="s">
        <v>281</v>
      </c>
      <c r="E109" s="12" t="s">
        <v>326</v>
      </c>
      <c r="F109" s="11">
        <v>32509</v>
      </c>
      <c r="G109" s="12" t="str">
        <f t="shared" si="9"/>
        <v>чоловіча</v>
      </c>
      <c r="H109" s="12" t="str">
        <f>VLOOKUP(_xlfn.CONCAT(C109," ",D109," ",E109),Відділи!B83:C182,2,FALSE)</f>
        <v>Юридичний відділ</v>
      </c>
      <c r="I109" s="12">
        <f t="shared" si="10"/>
        <v>19</v>
      </c>
      <c r="J109" s="12" t="str">
        <f t="shared" si="11"/>
        <v>ні</v>
      </c>
      <c r="K109" s="11">
        <v>39642</v>
      </c>
      <c r="L109" s="11"/>
      <c r="M109" s="16" t="str">
        <f t="shared" si="12"/>
        <v>14р.5м.19д.</v>
      </c>
      <c r="N109" s="12"/>
      <c r="O109" s="4"/>
      <c r="P109" s="4"/>
      <c r="Q109" s="1">
        <f t="shared" si="13"/>
        <v>34</v>
      </c>
      <c r="R109" s="1"/>
    </row>
    <row r="110" spans="1:18" ht="14.25" customHeight="1">
      <c r="A110" s="1"/>
      <c r="B110" s="10">
        <v>93</v>
      </c>
      <c r="C110" s="14" t="s">
        <v>319</v>
      </c>
      <c r="D110" s="12" t="s">
        <v>320</v>
      </c>
      <c r="E110" s="12" t="s">
        <v>321</v>
      </c>
      <c r="F110" s="11">
        <v>20023</v>
      </c>
      <c r="G110" s="12" t="str">
        <f t="shared" si="9"/>
        <v>жіноча</v>
      </c>
      <c r="H110" s="12" t="str">
        <f>VLOOKUP(_xlfn.CONCAT(C110," ",D110," ",E110),Відділи!B80:C179,2,FALSE)</f>
        <v>Юридичний відділ</v>
      </c>
      <c r="I110" s="12">
        <f t="shared" si="10"/>
        <v>60</v>
      </c>
      <c r="J110" s="12" t="str">
        <f t="shared" si="11"/>
        <v>так</v>
      </c>
      <c r="K110" s="11">
        <v>42137</v>
      </c>
      <c r="L110" s="11">
        <v>43917</v>
      </c>
      <c r="M110" s="16" t="str">
        <f t="shared" si="12"/>
        <v>4р.10м.14д.</v>
      </c>
      <c r="N110" s="12" t="s">
        <v>39</v>
      </c>
      <c r="O110" s="4"/>
      <c r="P110" s="4"/>
      <c r="Q110" s="1">
        <f t="shared" si="13"/>
        <v>68</v>
      </c>
      <c r="R110" s="1"/>
    </row>
    <row r="111" spans="1:18" ht="14.25" customHeight="1">
      <c r="A111" s="1"/>
      <c r="B111" s="10">
        <v>94</v>
      </c>
      <c r="C111" s="14" t="s">
        <v>268</v>
      </c>
      <c r="D111" s="12" t="s">
        <v>269</v>
      </c>
      <c r="E111" s="12" t="s">
        <v>270</v>
      </c>
      <c r="F111" s="11">
        <v>30177</v>
      </c>
      <c r="G111" s="12" t="str">
        <f t="shared" si="9"/>
        <v>жіноча</v>
      </c>
      <c r="H111" s="12" t="str">
        <f>VLOOKUP(_xlfn.CONCAT(C111," ",D111," ",E111),Відділи!B51:C150,2,FALSE)</f>
        <v>Юридичний відділ</v>
      </c>
      <c r="I111" s="12">
        <f t="shared" si="10"/>
        <v>27</v>
      </c>
      <c r="J111" s="12" t="str">
        <f t="shared" si="11"/>
        <v>ні</v>
      </c>
      <c r="K111" s="11">
        <v>40345</v>
      </c>
      <c r="L111" s="11">
        <v>40593</v>
      </c>
      <c r="M111" s="16" t="str">
        <f t="shared" si="12"/>
        <v>0р.8м.3д.</v>
      </c>
      <c r="N111" s="12" t="s">
        <v>56</v>
      </c>
      <c r="O111" s="4"/>
      <c r="P111" s="4"/>
      <c r="Q111" s="1">
        <f t="shared" si="13"/>
        <v>40</v>
      </c>
      <c r="R111" s="1"/>
    </row>
    <row r="112" spans="1:18" ht="14.25" customHeight="1">
      <c r="A112" s="1"/>
      <c r="B112" s="10">
        <v>95</v>
      </c>
      <c r="C112" s="14" t="s">
        <v>181</v>
      </c>
      <c r="D112" s="12" t="s">
        <v>182</v>
      </c>
      <c r="E112" s="12" t="s">
        <v>183</v>
      </c>
      <c r="F112" s="11">
        <v>24021</v>
      </c>
      <c r="G112" s="12" t="str">
        <f t="shared" si="9"/>
        <v>жіноча</v>
      </c>
      <c r="H112" s="12" t="str">
        <f>VLOOKUP(_xlfn.CONCAT(C112," ",D112," ",E112),Відділи!B13:C112,2,FALSE)</f>
        <v>Юридичний відділ</v>
      </c>
      <c r="I112" s="12">
        <f t="shared" si="10"/>
        <v>41</v>
      </c>
      <c r="J112" s="12" t="str">
        <f t="shared" si="11"/>
        <v>ні</v>
      </c>
      <c r="K112" s="11">
        <v>39193</v>
      </c>
      <c r="L112" s="11"/>
      <c r="M112" s="16" t="str">
        <f t="shared" si="12"/>
        <v>15р.8м.11д.</v>
      </c>
      <c r="N112" s="12"/>
      <c r="O112" s="4"/>
      <c r="P112" s="4"/>
      <c r="Q112" s="1">
        <f t="shared" si="13"/>
        <v>57</v>
      </c>
      <c r="R112" s="1"/>
    </row>
    <row r="113" spans="1:18" ht="14.25" customHeight="1">
      <c r="A113" s="1"/>
      <c r="B113" s="10">
        <v>96</v>
      </c>
      <c r="C113" s="14" t="s">
        <v>218</v>
      </c>
      <c r="D113" s="12" t="s">
        <v>219</v>
      </c>
      <c r="E113" s="12" t="s">
        <v>220</v>
      </c>
      <c r="F113" s="11">
        <v>26432</v>
      </c>
      <c r="G113" s="12" t="str">
        <f t="shared" si="9"/>
        <v>чоловіча</v>
      </c>
      <c r="H113" s="12" t="str">
        <f>VLOOKUP(_xlfn.CONCAT(C113," ",D113," ",E113),Відділи!B28:C127,2,FALSE)</f>
        <v>Юридичний відділ</v>
      </c>
      <c r="I113" s="12">
        <f t="shared" si="10"/>
        <v>35</v>
      </c>
      <c r="J113" s="12" t="str">
        <f t="shared" si="11"/>
        <v>ні</v>
      </c>
      <c r="K113" s="11">
        <v>39449</v>
      </c>
      <c r="L113" s="11">
        <v>39562</v>
      </c>
      <c r="M113" s="16" t="str">
        <f t="shared" si="12"/>
        <v>0р.3м.22д.</v>
      </c>
      <c r="N113" s="12" t="s">
        <v>60</v>
      </c>
      <c r="O113" s="4"/>
      <c r="P113" s="4"/>
      <c r="Q113" s="1">
        <f t="shared" si="13"/>
        <v>50</v>
      </c>
      <c r="R113" s="1"/>
    </row>
    <row r="114" spans="1:18" ht="14.25" customHeight="1">
      <c r="A114" s="1"/>
      <c r="B114" s="10">
        <v>97</v>
      </c>
      <c r="C114" s="14" t="s">
        <v>240</v>
      </c>
      <c r="D114" s="12" t="s">
        <v>241</v>
      </c>
      <c r="E114" s="12" t="s">
        <v>242</v>
      </c>
      <c r="F114" s="11">
        <v>30910</v>
      </c>
      <c r="G114" s="12" t="str">
        <f t="shared" si="9"/>
        <v>чоловіча</v>
      </c>
      <c r="H114" s="12" t="str">
        <f>VLOOKUP(_xlfn.CONCAT(C114," ",D114," ",E114),Відділи!B39:C138,2,FALSE)</f>
        <v>Юридичний відділ</v>
      </c>
      <c r="I114" s="12">
        <f t="shared" si="10"/>
        <v>26</v>
      </c>
      <c r="J114" s="12" t="str">
        <f t="shared" ref="J114:J117" si="14">IF(I114&gt;=60,"так","ні")</f>
        <v>ні</v>
      </c>
      <c r="K114" s="11">
        <v>40633</v>
      </c>
      <c r="L114" s="11"/>
      <c r="M114" s="16" t="str">
        <f t="shared" ref="M114:M117" si="15">IF(L114="",_xlfn.CONCAT(DATEDIF(K114,$F$14,"Y"),"р.", DATEDIF(K114,$F$14,"ym"),"м.", DATEDIF(K114,$F$14,"md"),"д."),_xlfn.CONCAT(DATEDIF(K114,L114,"Y"),"р.", DATEDIF(K114,L114,"ym"),"м.", DATEDIF(K114,L114,"md"),"д."))</f>
        <v>11р.9м.1д.</v>
      </c>
      <c r="N114" s="12"/>
      <c r="O114" s="4"/>
      <c r="P114" s="4"/>
      <c r="Q114" s="1">
        <f t="shared" si="13"/>
        <v>38</v>
      </c>
      <c r="R114" s="1"/>
    </row>
    <row r="115" spans="1:18" ht="14.25" customHeight="1">
      <c r="A115" s="1"/>
      <c r="B115" s="10">
        <v>98</v>
      </c>
      <c r="C115" s="14" t="s">
        <v>323</v>
      </c>
      <c r="D115" s="12" t="s">
        <v>216</v>
      </c>
      <c r="E115" s="12" t="s">
        <v>324</v>
      </c>
      <c r="F115" s="11">
        <v>32272</v>
      </c>
      <c r="G115" s="12" t="str">
        <f t="shared" si="9"/>
        <v>жіноча</v>
      </c>
      <c r="H115" s="12" t="str">
        <f>VLOOKUP(_xlfn.CONCAT(C115," ",D115," ",E115),Відділи!B82:C181,2,FALSE)</f>
        <v>Юридичний відділ</v>
      </c>
      <c r="I115" s="12">
        <f t="shared" si="10"/>
        <v>24</v>
      </c>
      <c r="J115" s="12" t="str">
        <f t="shared" si="14"/>
        <v>ні</v>
      </c>
      <c r="K115" s="11">
        <v>41274</v>
      </c>
      <c r="L115" s="11">
        <v>42178</v>
      </c>
      <c r="M115" s="16" t="str">
        <f t="shared" si="15"/>
        <v>2р.5м.23д.</v>
      </c>
      <c r="N115" s="12" t="s">
        <v>37</v>
      </c>
      <c r="O115" s="4"/>
      <c r="P115" s="4"/>
      <c r="Q115" s="1">
        <f t="shared" si="13"/>
        <v>34</v>
      </c>
      <c r="R115" s="1"/>
    </row>
    <row r="116" spans="1:18" ht="14.25" customHeight="1">
      <c r="A116" s="1"/>
      <c r="B116" s="10">
        <v>99</v>
      </c>
      <c r="C116" s="14" t="s">
        <v>282</v>
      </c>
      <c r="D116" s="12" t="s">
        <v>205</v>
      </c>
      <c r="E116" s="12" t="s">
        <v>166</v>
      </c>
      <c r="F116" s="11">
        <v>21987</v>
      </c>
      <c r="G116" s="12" t="str">
        <f t="shared" si="9"/>
        <v>чоловіча</v>
      </c>
      <c r="H116" s="12" t="str">
        <f>VLOOKUP(_xlfn.CONCAT(C116," ",D116," ",E116),Відділи!B57:C156,2,FALSE)</f>
        <v>Юридичний відділ</v>
      </c>
      <c r="I116" s="12">
        <f t="shared" si="10"/>
        <v>49</v>
      </c>
      <c r="J116" s="12" t="str">
        <f t="shared" si="14"/>
        <v>ні</v>
      </c>
      <c r="K116" s="11">
        <v>39962</v>
      </c>
      <c r="L116" s="11"/>
      <c r="M116" s="16" t="str">
        <f t="shared" si="15"/>
        <v>13р.7м.3д.</v>
      </c>
      <c r="N116" s="12"/>
      <c r="O116" s="4"/>
      <c r="P116" s="4"/>
      <c r="Q116" s="1">
        <f t="shared" si="13"/>
        <v>62</v>
      </c>
      <c r="R116" s="1"/>
    </row>
    <row r="117" spans="1:18" ht="14.25" customHeight="1">
      <c r="A117" s="1"/>
      <c r="B117" s="10">
        <v>100</v>
      </c>
      <c r="C117" s="13" t="s">
        <v>152</v>
      </c>
      <c r="D117" s="12" t="s">
        <v>153</v>
      </c>
      <c r="E117" s="12" t="s">
        <v>154</v>
      </c>
      <c r="F117" s="11">
        <v>15437</v>
      </c>
      <c r="G117" s="12" t="str">
        <f t="shared" si="9"/>
        <v>чоловіча</v>
      </c>
      <c r="H117" s="12" t="str">
        <f>VLOOKUP(_xlfn.CONCAT(C117," ",D117," ",E117),Відділи!B3:C102,2,FALSE)</f>
        <v>Юридичний відділ</v>
      </c>
      <c r="I117" s="12">
        <f t="shared" si="10"/>
        <v>72</v>
      </c>
      <c r="J117" s="12" t="str">
        <f t="shared" si="14"/>
        <v>так</v>
      </c>
      <c r="K117" s="11">
        <v>41849</v>
      </c>
      <c r="L117" s="11">
        <v>42182</v>
      </c>
      <c r="M117" s="16" t="str">
        <f t="shared" si="15"/>
        <v>0р.10м.29д.</v>
      </c>
      <c r="N117" s="12" t="s">
        <v>37</v>
      </c>
      <c r="O117" s="4"/>
      <c r="P117" s="4"/>
      <c r="Q117" s="1">
        <f t="shared" si="13"/>
        <v>80</v>
      </c>
      <c r="R117" s="1"/>
    </row>
    <row r="118" spans="1:18" ht="14.25" customHeight="1">
      <c r="A118" s="1"/>
      <c r="B118" s="3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1"/>
      <c r="R118" s="1"/>
    </row>
    <row r="119" spans="1:18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C17:E117" xr:uid="{00000000-0009-0000-0000-000001000000}"/>
  <sortState xmlns:xlrd2="http://schemas.microsoft.com/office/spreadsheetml/2017/richdata2" ref="B18:N117">
    <sortCondition ref="H18:H117"/>
    <sortCondition ref="C18:C117"/>
  </sortState>
  <mergeCells count="31">
    <mergeCell ref="B16:B17"/>
    <mergeCell ref="C16:E16"/>
    <mergeCell ref="F16:F17"/>
    <mergeCell ref="G16:G17"/>
    <mergeCell ref="I16:I17"/>
    <mergeCell ref="H16:H17"/>
    <mergeCell ref="K16:K17"/>
    <mergeCell ref="L16:L17"/>
    <mergeCell ref="M16:M17"/>
    <mergeCell ref="N16:N17"/>
    <mergeCell ref="C14:E14"/>
    <mergeCell ref="J16:J17"/>
    <mergeCell ref="L11:O11"/>
    <mergeCell ref="L12:O12"/>
    <mergeCell ref="B8:J8"/>
    <mergeCell ref="L8:O8"/>
    <mergeCell ref="B9:E9"/>
    <mergeCell ref="L9:O9"/>
    <mergeCell ref="B10:J10"/>
    <mergeCell ref="L10:O10"/>
    <mergeCell ref="B11:F11"/>
    <mergeCell ref="L6:O6"/>
    <mergeCell ref="B2:E2"/>
    <mergeCell ref="B3:K3"/>
    <mergeCell ref="B4:E4"/>
    <mergeCell ref="L4:O4"/>
    <mergeCell ref="B5:I5"/>
    <mergeCell ref="L5:O5"/>
    <mergeCell ref="B6:I7"/>
    <mergeCell ref="L7:M7"/>
    <mergeCell ref="N7:O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000"/>
  <sheetViews>
    <sheetView workbookViewId="0">
      <selection activeCell="B1" sqref="B1"/>
    </sheetView>
  </sheetViews>
  <sheetFormatPr defaultColWidth="12.59765625" defaultRowHeight="15" customHeight="1"/>
  <cols>
    <col min="1" max="1" width="7.59765625" customWidth="1"/>
    <col min="2" max="2" width="36.69921875" customWidth="1"/>
    <col min="3" max="3" width="34.5" customWidth="1"/>
    <col min="4" max="26" width="7.59765625" customWidth="1"/>
  </cols>
  <sheetData>
    <row r="1" spans="2:3" ht="14.25" customHeight="1">
      <c r="B1" s="5" t="s">
        <v>141</v>
      </c>
      <c r="C1" s="6" t="s">
        <v>142</v>
      </c>
    </row>
    <row r="2" spans="2:3" ht="14.25" customHeight="1">
      <c r="B2" s="7" t="s">
        <v>143</v>
      </c>
      <c r="C2" s="8" t="s">
        <v>144</v>
      </c>
    </row>
    <row r="3" spans="2:3" ht="14.25" customHeight="1">
      <c r="B3" s="7" t="s">
        <v>36</v>
      </c>
      <c r="C3" s="8" t="s">
        <v>145</v>
      </c>
    </row>
    <row r="4" spans="2:3" ht="14.25" customHeight="1">
      <c r="B4" s="7" t="s">
        <v>38</v>
      </c>
      <c r="C4" s="8" t="s">
        <v>146</v>
      </c>
    </row>
    <row r="5" spans="2:3" ht="14.25" customHeight="1">
      <c r="B5" s="7" t="s">
        <v>40</v>
      </c>
      <c r="C5" s="8" t="s">
        <v>147</v>
      </c>
    </row>
    <row r="6" spans="2:3" ht="14.25" customHeight="1">
      <c r="B6" s="7" t="s">
        <v>41</v>
      </c>
      <c r="C6" s="8" t="s">
        <v>148</v>
      </c>
    </row>
    <row r="7" spans="2:3" ht="14.25" customHeight="1">
      <c r="B7" s="7" t="s">
        <v>42</v>
      </c>
      <c r="C7" s="8" t="s">
        <v>149</v>
      </c>
    </row>
    <row r="8" spans="2:3" ht="14.25" customHeight="1">
      <c r="B8" s="7" t="s">
        <v>43</v>
      </c>
      <c r="C8" s="8" t="s">
        <v>150</v>
      </c>
    </row>
    <row r="9" spans="2:3" ht="14.25" customHeight="1">
      <c r="B9" s="7" t="s">
        <v>44</v>
      </c>
      <c r="C9" s="8" t="s">
        <v>151</v>
      </c>
    </row>
    <row r="10" spans="2:3" ht="14.25" customHeight="1">
      <c r="B10" s="7" t="s">
        <v>46</v>
      </c>
      <c r="C10" s="8" t="s">
        <v>144</v>
      </c>
    </row>
    <row r="11" spans="2:3" ht="14.25" customHeight="1">
      <c r="B11" s="7" t="s">
        <v>47</v>
      </c>
      <c r="C11" s="8" t="s">
        <v>146</v>
      </c>
    </row>
    <row r="12" spans="2:3" ht="14.25" customHeight="1">
      <c r="B12" s="7" t="s">
        <v>48</v>
      </c>
      <c r="C12" s="8" t="s">
        <v>149</v>
      </c>
    </row>
    <row r="13" spans="2:3" ht="14.25" customHeight="1">
      <c r="B13" s="7" t="s">
        <v>49</v>
      </c>
      <c r="C13" s="8" t="s">
        <v>145</v>
      </c>
    </row>
    <row r="14" spans="2:3" ht="14.25" customHeight="1">
      <c r="B14" s="7" t="s">
        <v>50</v>
      </c>
      <c r="C14" s="8" t="s">
        <v>144</v>
      </c>
    </row>
    <row r="15" spans="2:3" ht="14.25" customHeight="1">
      <c r="B15" s="7" t="s">
        <v>51</v>
      </c>
      <c r="C15" s="8" t="s">
        <v>148</v>
      </c>
    </row>
    <row r="16" spans="2:3" ht="14.25" customHeight="1">
      <c r="B16" s="7" t="s">
        <v>52</v>
      </c>
      <c r="C16" s="8" t="s">
        <v>150</v>
      </c>
    </row>
    <row r="17" spans="2:3" ht="14.25" customHeight="1">
      <c r="B17" s="7" t="s">
        <v>53</v>
      </c>
      <c r="C17" s="8" t="s">
        <v>145</v>
      </c>
    </row>
    <row r="18" spans="2:3" ht="14.25" customHeight="1">
      <c r="B18" s="7" t="s">
        <v>54</v>
      </c>
      <c r="C18" s="8" t="s">
        <v>146</v>
      </c>
    </row>
    <row r="19" spans="2:3" ht="14.25" customHeight="1">
      <c r="B19" s="7" t="s">
        <v>55</v>
      </c>
      <c r="C19" s="8" t="s">
        <v>144</v>
      </c>
    </row>
    <row r="20" spans="2:3" ht="14.25" customHeight="1">
      <c r="B20" s="7" t="s">
        <v>57</v>
      </c>
      <c r="C20" s="8" t="s">
        <v>144</v>
      </c>
    </row>
    <row r="21" spans="2:3" ht="14.25" customHeight="1">
      <c r="B21" s="7" t="s">
        <v>58</v>
      </c>
      <c r="C21" s="8" t="s">
        <v>148</v>
      </c>
    </row>
    <row r="22" spans="2:3" ht="14.25" customHeight="1">
      <c r="B22" s="7" t="s">
        <v>59</v>
      </c>
      <c r="C22" s="8" t="s">
        <v>147</v>
      </c>
    </row>
    <row r="23" spans="2:3" ht="14.25" customHeight="1">
      <c r="B23" s="7" t="s">
        <v>61</v>
      </c>
      <c r="C23" s="8" t="s">
        <v>147</v>
      </c>
    </row>
    <row r="24" spans="2:3" ht="14.25" customHeight="1">
      <c r="B24" s="7" t="s">
        <v>62</v>
      </c>
      <c r="C24" s="8" t="s">
        <v>149</v>
      </c>
    </row>
    <row r="25" spans="2:3" ht="14.25" customHeight="1">
      <c r="B25" s="7" t="s">
        <v>63</v>
      </c>
      <c r="C25" s="8" t="s">
        <v>147</v>
      </c>
    </row>
    <row r="26" spans="2:3" ht="14.25" customHeight="1">
      <c r="B26" s="7" t="s">
        <v>64</v>
      </c>
      <c r="C26" s="8" t="s">
        <v>148</v>
      </c>
    </row>
    <row r="27" spans="2:3" ht="14.25" customHeight="1">
      <c r="B27" s="7" t="s">
        <v>65</v>
      </c>
      <c r="C27" s="8" t="s">
        <v>149</v>
      </c>
    </row>
    <row r="28" spans="2:3" ht="14.25" customHeight="1">
      <c r="B28" s="7" t="s">
        <v>66</v>
      </c>
      <c r="C28" s="8" t="s">
        <v>145</v>
      </c>
    </row>
    <row r="29" spans="2:3" ht="14.25" customHeight="1">
      <c r="B29" s="7" t="s">
        <v>67</v>
      </c>
      <c r="C29" s="8" t="s">
        <v>146</v>
      </c>
    </row>
    <row r="30" spans="2:3" ht="14.25" customHeight="1">
      <c r="B30" s="7" t="s">
        <v>68</v>
      </c>
      <c r="C30" s="8" t="s">
        <v>150</v>
      </c>
    </row>
    <row r="31" spans="2:3" ht="14.25" customHeight="1">
      <c r="B31" s="7" t="s">
        <v>69</v>
      </c>
      <c r="C31" s="8" t="s">
        <v>148</v>
      </c>
    </row>
    <row r="32" spans="2:3" ht="14.25" customHeight="1">
      <c r="B32" s="7" t="s">
        <v>70</v>
      </c>
      <c r="C32" s="8" t="s">
        <v>147</v>
      </c>
    </row>
    <row r="33" spans="2:3" ht="14.25" customHeight="1">
      <c r="B33" s="7" t="s">
        <v>71</v>
      </c>
      <c r="C33" s="8" t="s">
        <v>147</v>
      </c>
    </row>
    <row r="34" spans="2:3" ht="14.25" customHeight="1">
      <c r="B34" s="7" t="s">
        <v>72</v>
      </c>
      <c r="C34" s="8" t="s">
        <v>150</v>
      </c>
    </row>
    <row r="35" spans="2:3" ht="14.25" customHeight="1">
      <c r="B35" s="7" t="s">
        <v>73</v>
      </c>
      <c r="C35" s="8" t="s">
        <v>149</v>
      </c>
    </row>
    <row r="36" spans="2:3" ht="14.25" customHeight="1">
      <c r="B36" s="7" t="s">
        <v>74</v>
      </c>
      <c r="C36" s="8" t="s">
        <v>146</v>
      </c>
    </row>
    <row r="37" spans="2:3" ht="14.25" customHeight="1">
      <c r="B37" s="7" t="s">
        <v>75</v>
      </c>
      <c r="C37" s="8" t="s">
        <v>144</v>
      </c>
    </row>
    <row r="38" spans="2:3" ht="14.25" customHeight="1">
      <c r="B38" s="7" t="s">
        <v>77</v>
      </c>
      <c r="C38" s="8" t="s">
        <v>150</v>
      </c>
    </row>
    <row r="39" spans="2:3" ht="14.25" customHeight="1">
      <c r="B39" s="7" t="s">
        <v>78</v>
      </c>
      <c r="C39" s="8" t="s">
        <v>145</v>
      </c>
    </row>
    <row r="40" spans="2:3" ht="14.25" customHeight="1">
      <c r="B40" s="7" t="s">
        <v>79</v>
      </c>
      <c r="C40" s="8" t="s">
        <v>151</v>
      </c>
    </row>
    <row r="41" spans="2:3" ht="14.25" customHeight="1">
      <c r="B41" s="7" t="s">
        <v>80</v>
      </c>
      <c r="C41" s="8" t="s">
        <v>144</v>
      </c>
    </row>
    <row r="42" spans="2:3" ht="14.25" customHeight="1">
      <c r="B42" s="7" t="s">
        <v>81</v>
      </c>
      <c r="C42" s="8" t="s">
        <v>151</v>
      </c>
    </row>
    <row r="43" spans="2:3" ht="14.25" customHeight="1">
      <c r="B43" s="7" t="s">
        <v>82</v>
      </c>
      <c r="C43" s="8" t="s">
        <v>151</v>
      </c>
    </row>
    <row r="44" spans="2:3" ht="14.25" customHeight="1">
      <c r="B44" s="7" t="s">
        <v>83</v>
      </c>
      <c r="C44" s="8" t="s">
        <v>149</v>
      </c>
    </row>
    <row r="45" spans="2:3" ht="14.25" customHeight="1">
      <c r="B45" s="7" t="s">
        <v>84</v>
      </c>
      <c r="C45" s="8" t="s">
        <v>144</v>
      </c>
    </row>
    <row r="46" spans="2:3" ht="14.25" customHeight="1">
      <c r="B46" s="7" t="s">
        <v>85</v>
      </c>
      <c r="C46" s="8" t="s">
        <v>148</v>
      </c>
    </row>
    <row r="47" spans="2:3" ht="14.25" customHeight="1">
      <c r="B47" s="7" t="s">
        <v>86</v>
      </c>
      <c r="C47" s="8" t="s">
        <v>144</v>
      </c>
    </row>
    <row r="48" spans="2:3" ht="14.25" customHeight="1">
      <c r="B48" s="7" t="s">
        <v>87</v>
      </c>
      <c r="C48" s="8" t="s">
        <v>148</v>
      </c>
    </row>
    <row r="49" spans="2:3" ht="14.25" customHeight="1">
      <c r="B49" s="7" t="s">
        <v>88</v>
      </c>
      <c r="C49" s="8" t="s">
        <v>144</v>
      </c>
    </row>
    <row r="50" spans="2:3" ht="14.25" customHeight="1">
      <c r="B50" s="7" t="s">
        <v>89</v>
      </c>
      <c r="C50" s="8" t="s">
        <v>146</v>
      </c>
    </row>
    <row r="51" spans="2:3" ht="14.25" customHeight="1">
      <c r="B51" s="7" t="s">
        <v>90</v>
      </c>
      <c r="C51" s="8" t="s">
        <v>145</v>
      </c>
    </row>
    <row r="52" spans="2:3" ht="14.25" customHeight="1">
      <c r="B52" s="7" t="s">
        <v>91</v>
      </c>
      <c r="C52" s="8" t="s">
        <v>151</v>
      </c>
    </row>
    <row r="53" spans="2:3" ht="14.25" customHeight="1">
      <c r="B53" s="7" t="s">
        <v>92</v>
      </c>
      <c r="C53" s="8" t="s">
        <v>146</v>
      </c>
    </row>
    <row r="54" spans="2:3" ht="14.25" customHeight="1">
      <c r="B54" s="7" t="s">
        <v>93</v>
      </c>
      <c r="C54" s="8" t="s">
        <v>149</v>
      </c>
    </row>
    <row r="55" spans="2:3" ht="14.25" customHeight="1">
      <c r="B55" s="7" t="s">
        <v>94</v>
      </c>
      <c r="C55" s="8" t="s">
        <v>151</v>
      </c>
    </row>
    <row r="56" spans="2:3" ht="14.25" customHeight="1">
      <c r="B56" s="7" t="s">
        <v>95</v>
      </c>
      <c r="C56" s="8" t="s">
        <v>144</v>
      </c>
    </row>
    <row r="57" spans="2:3" ht="14.25" customHeight="1">
      <c r="B57" s="7" t="s">
        <v>96</v>
      </c>
      <c r="C57" s="8" t="s">
        <v>145</v>
      </c>
    </row>
    <row r="58" spans="2:3" ht="14.25" customHeight="1">
      <c r="B58" s="7" t="s">
        <v>97</v>
      </c>
      <c r="C58" s="8" t="s">
        <v>150</v>
      </c>
    </row>
    <row r="59" spans="2:3" ht="14.25" customHeight="1">
      <c r="B59" s="7" t="s">
        <v>98</v>
      </c>
      <c r="C59" s="8" t="s">
        <v>146</v>
      </c>
    </row>
    <row r="60" spans="2:3" ht="14.25" customHeight="1">
      <c r="B60" s="7" t="s">
        <v>99</v>
      </c>
      <c r="C60" s="8" t="s">
        <v>147</v>
      </c>
    </row>
    <row r="61" spans="2:3" ht="14.25" customHeight="1">
      <c r="B61" s="7" t="s">
        <v>100</v>
      </c>
      <c r="C61" s="8" t="s">
        <v>146</v>
      </c>
    </row>
    <row r="62" spans="2:3" ht="14.25" customHeight="1">
      <c r="B62" s="7" t="s">
        <v>101</v>
      </c>
      <c r="C62" s="8" t="s">
        <v>147</v>
      </c>
    </row>
    <row r="63" spans="2:3" ht="14.25" customHeight="1">
      <c r="B63" s="7" t="s">
        <v>102</v>
      </c>
      <c r="C63" s="8" t="s">
        <v>144</v>
      </c>
    </row>
    <row r="64" spans="2:3" ht="14.25" customHeight="1">
      <c r="B64" s="7" t="s">
        <v>103</v>
      </c>
      <c r="C64" s="8" t="s">
        <v>145</v>
      </c>
    </row>
    <row r="65" spans="2:3" ht="14.25" customHeight="1">
      <c r="B65" s="7" t="s">
        <v>104</v>
      </c>
      <c r="C65" s="8" t="s">
        <v>150</v>
      </c>
    </row>
    <row r="66" spans="2:3" ht="14.25" customHeight="1">
      <c r="B66" s="7" t="s">
        <v>105</v>
      </c>
      <c r="C66" s="8" t="s">
        <v>148</v>
      </c>
    </row>
    <row r="67" spans="2:3" ht="14.25" customHeight="1">
      <c r="B67" s="7" t="s">
        <v>106</v>
      </c>
      <c r="C67" s="8" t="s">
        <v>150</v>
      </c>
    </row>
    <row r="68" spans="2:3" ht="14.25" customHeight="1">
      <c r="B68" s="7" t="s">
        <v>107</v>
      </c>
      <c r="C68" s="8" t="s">
        <v>147</v>
      </c>
    </row>
    <row r="69" spans="2:3" ht="14.25" customHeight="1">
      <c r="B69" s="7" t="s">
        <v>108</v>
      </c>
      <c r="C69" s="8" t="s">
        <v>146</v>
      </c>
    </row>
    <row r="70" spans="2:3" ht="14.25" customHeight="1">
      <c r="B70" s="7" t="s">
        <v>109</v>
      </c>
      <c r="C70" s="8" t="s">
        <v>151</v>
      </c>
    </row>
    <row r="71" spans="2:3" ht="14.25" customHeight="1">
      <c r="B71" s="7" t="s">
        <v>110</v>
      </c>
      <c r="C71" s="8" t="s">
        <v>146</v>
      </c>
    </row>
    <row r="72" spans="2:3" ht="14.25" customHeight="1">
      <c r="B72" s="7" t="s">
        <v>111</v>
      </c>
      <c r="C72" s="8" t="s">
        <v>148</v>
      </c>
    </row>
    <row r="73" spans="2:3" ht="14.25" customHeight="1">
      <c r="B73" s="7" t="s">
        <v>112</v>
      </c>
      <c r="C73" s="8" t="s">
        <v>146</v>
      </c>
    </row>
    <row r="74" spans="2:3" ht="14.25" customHeight="1">
      <c r="B74" s="7" t="s">
        <v>113</v>
      </c>
      <c r="C74" s="8" t="s">
        <v>147</v>
      </c>
    </row>
    <row r="75" spans="2:3" ht="14.25" customHeight="1">
      <c r="B75" s="7" t="s">
        <v>114</v>
      </c>
      <c r="C75" s="8" t="s">
        <v>148</v>
      </c>
    </row>
    <row r="76" spans="2:3" ht="14.25" customHeight="1">
      <c r="B76" s="7" t="s">
        <v>115</v>
      </c>
      <c r="C76" s="8" t="s">
        <v>146</v>
      </c>
    </row>
    <row r="77" spans="2:3" ht="14.25" customHeight="1">
      <c r="B77" s="7" t="s">
        <v>116</v>
      </c>
      <c r="C77" s="8" t="s">
        <v>151</v>
      </c>
    </row>
    <row r="78" spans="2:3" ht="14.25" customHeight="1">
      <c r="B78" s="7" t="s">
        <v>117</v>
      </c>
      <c r="C78" s="8" t="s">
        <v>144</v>
      </c>
    </row>
    <row r="79" spans="2:3" ht="14.25" customHeight="1">
      <c r="B79" s="7" t="s">
        <v>118</v>
      </c>
      <c r="C79" s="8" t="s">
        <v>147</v>
      </c>
    </row>
    <row r="80" spans="2:3" ht="14.25" customHeight="1">
      <c r="B80" s="7" t="s">
        <v>119</v>
      </c>
      <c r="C80" s="8" t="s">
        <v>145</v>
      </c>
    </row>
    <row r="81" spans="2:3" ht="14.25" customHeight="1">
      <c r="B81" s="7" t="s">
        <v>120</v>
      </c>
      <c r="C81" s="8" t="s">
        <v>146</v>
      </c>
    </row>
    <row r="82" spans="2:3" ht="14.25" customHeight="1">
      <c r="B82" s="7" t="s">
        <v>121</v>
      </c>
      <c r="C82" s="8" t="s">
        <v>145</v>
      </c>
    </row>
    <row r="83" spans="2:3" ht="14.25" customHeight="1">
      <c r="B83" s="7" t="s">
        <v>122</v>
      </c>
      <c r="C83" s="8" t="s">
        <v>145</v>
      </c>
    </row>
    <row r="84" spans="2:3" ht="14.25" customHeight="1">
      <c r="B84" s="7" t="s">
        <v>123</v>
      </c>
      <c r="C84" s="8" t="s">
        <v>151</v>
      </c>
    </row>
    <row r="85" spans="2:3" ht="14.25" customHeight="1">
      <c r="B85" s="7" t="s">
        <v>124</v>
      </c>
      <c r="C85" s="8" t="s">
        <v>144</v>
      </c>
    </row>
    <row r="86" spans="2:3" ht="14.25" customHeight="1">
      <c r="B86" s="7" t="s">
        <v>125</v>
      </c>
      <c r="C86" s="8" t="s">
        <v>147</v>
      </c>
    </row>
    <row r="87" spans="2:3" ht="14.25" customHeight="1">
      <c r="B87" s="7" t="s">
        <v>126</v>
      </c>
      <c r="C87" s="8" t="s">
        <v>150</v>
      </c>
    </row>
    <row r="88" spans="2:3" ht="14.25" customHeight="1">
      <c r="B88" s="7" t="s">
        <v>127</v>
      </c>
      <c r="C88" s="8" t="s">
        <v>146</v>
      </c>
    </row>
    <row r="89" spans="2:3" ht="14.25" customHeight="1">
      <c r="B89" s="7" t="s">
        <v>128</v>
      </c>
      <c r="C89" s="8" t="s">
        <v>146</v>
      </c>
    </row>
    <row r="90" spans="2:3" ht="14.25" customHeight="1">
      <c r="B90" s="7" t="s">
        <v>129</v>
      </c>
      <c r="C90" s="8" t="s">
        <v>149</v>
      </c>
    </row>
    <row r="91" spans="2:3" ht="14.25" customHeight="1">
      <c r="B91" s="7" t="s">
        <v>130</v>
      </c>
      <c r="C91" s="8" t="s">
        <v>147</v>
      </c>
    </row>
    <row r="92" spans="2:3" ht="14.25" customHeight="1">
      <c r="B92" s="7" t="s">
        <v>131</v>
      </c>
      <c r="C92" s="8" t="s">
        <v>146</v>
      </c>
    </row>
    <row r="93" spans="2:3" ht="14.25" customHeight="1">
      <c r="B93" s="7" t="s">
        <v>132</v>
      </c>
      <c r="C93" s="8" t="s">
        <v>149</v>
      </c>
    </row>
    <row r="94" spans="2:3" ht="14.25" customHeight="1">
      <c r="B94" s="7" t="s">
        <v>133</v>
      </c>
      <c r="C94" s="8" t="s">
        <v>146</v>
      </c>
    </row>
    <row r="95" spans="2:3" ht="14.25" customHeight="1">
      <c r="B95" s="7" t="s">
        <v>134</v>
      </c>
      <c r="C95" s="8" t="s">
        <v>148</v>
      </c>
    </row>
    <row r="96" spans="2:3" ht="14.25" customHeight="1">
      <c r="B96" s="7" t="s">
        <v>135</v>
      </c>
      <c r="C96" s="8" t="s">
        <v>150</v>
      </c>
    </row>
    <row r="97" spans="2:3" ht="14.25" customHeight="1">
      <c r="B97" s="7" t="s">
        <v>136</v>
      </c>
      <c r="C97" s="8" t="s">
        <v>149</v>
      </c>
    </row>
    <row r="98" spans="2:3" ht="14.25" customHeight="1">
      <c r="B98" s="7" t="s">
        <v>137</v>
      </c>
      <c r="C98" s="8" t="s">
        <v>144</v>
      </c>
    </row>
    <row r="99" spans="2:3" ht="14.25" customHeight="1">
      <c r="B99" s="7" t="s">
        <v>138</v>
      </c>
      <c r="C99" s="8" t="s">
        <v>145</v>
      </c>
    </row>
    <row r="100" spans="2:3" ht="14.25" customHeight="1">
      <c r="B100" s="7" t="s">
        <v>139</v>
      </c>
      <c r="C100" s="8" t="s">
        <v>144</v>
      </c>
    </row>
    <row r="101" spans="2:3" ht="14.25" customHeight="1">
      <c r="B101" s="7" t="s">
        <v>140</v>
      </c>
      <c r="C101" s="8" t="s">
        <v>148</v>
      </c>
    </row>
    <row r="102" spans="2:3" ht="14.25" customHeight="1">
      <c r="B102" s="1"/>
      <c r="C102" s="1"/>
    </row>
    <row r="103" spans="2:3" ht="14.25" customHeight="1">
      <c r="B103" s="1"/>
      <c r="C103" s="1"/>
    </row>
    <row r="104" spans="2:3" ht="14.25" customHeight="1">
      <c r="B104" s="1"/>
      <c r="C104" s="1"/>
    </row>
    <row r="105" spans="2:3" ht="14.25" customHeight="1">
      <c r="B105" s="1"/>
      <c r="C105" s="1"/>
    </row>
    <row r="106" spans="2:3" ht="14.25" customHeight="1">
      <c r="B106" s="1"/>
      <c r="C106" s="1"/>
    </row>
    <row r="107" spans="2:3" ht="14.25" customHeight="1">
      <c r="B107" s="1"/>
      <c r="C107" s="1"/>
    </row>
    <row r="108" spans="2:3" ht="14.25" customHeight="1">
      <c r="B108" s="1"/>
      <c r="C108" s="1"/>
    </row>
    <row r="109" spans="2:3" ht="14.25" customHeight="1">
      <c r="B109" s="1"/>
      <c r="C109" s="1"/>
    </row>
    <row r="110" spans="2:3" ht="14.25" customHeight="1">
      <c r="B110" s="1"/>
      <c r="C110" s="1"/>
    </row>
    <row r="111" spans="2:3" ht="14.25" customHeight="1">
      <c r="B111" s="1"/>
      <c r="C111" s="1"/>
    </row>
    <row r="112" spans="2:3" ht="14.25" customHeight="1">
      <c r="B112" s="1"/>
      <c r="C112" s="1"/>
    </row>
    <row r="113" spans="2:3" ht="14.25" customHeight="1">
      <c r="B113" s="1"/>
      <c r="C113" s="1"/>
    </row>
    <row r="114" spans="2:3" ht="14.25" customHeight="1">
      <c r="B114" s="1"/>
      <c r="C114" s="1"/>
    </row>
    <row r="115" spans="2:3" ht="14.25" customHeight="1">
      <c r="B115" s="1"/>
      <c r="C115" s="1"/>
    </row>
    <row r="116" spans="2:3" ht="14.25" customHeight="1">
      <c r="B116" s="1"/>
      <c r="C116" s="1"/>
    </row>
    <row r="117" spans="2:3" ht="14.25" customHeight="1">
      <c r="B117" s="1"/>
      <c r="C117" s="1"/>
    </row>
    <row r="118" spans="2:3" ht="14.25" customHeight="1">
      <c r="B118" s="1"/>
      <c r="C118" s="1"/>
    </row>
    <row r="119" spans="2:3" ht="14.25" customHeight="1">
      <c r="B119" s="1"/>
      <c r="C119" s="1"/>
    </row>
    <row r="120" spans="2:3" ht="14.25" customHeight="1">
      <c r="B120" s="1"/>
      <c r="C120" s="1"/>
    </row>
    <row r="121" spans="2:3" ht="14.25" customHeight="1">
      <c r="B121" s="1"/>
      <c r="C121" s="1"/>
    </row>
    <row r="122" spans="2:3" ht="14.25" customHeight="1">
      <c r="B122" s="1"/>
      <c r="C122" s="1"/>
    </row>
    <row r="123" spans="2:3" ht="14.25" customHeight="1">
      <c r="B123" s="1"/>
      <c r="C123" s="1"/>
    </row>
    <row r="124" spans="2:3" ht="14.25" customHeight="1">
      <c r="B124" s="1"/>
      <c r="C124" s="1"/>
    </row>
    <row r="125" spans="2:3" ht="14.25" customHeight="1">
      <c r="B125" s="1"/>
      <c r="C125" s="1"/>
    </row>
    <row r="126" spans="2:3" ht="14.25" customHeight="1">
      <c r="B126" s="1"/>
      <c r="C126" s="1"/>
    </row>
    <row r="127" spans="2:3" ht="14.25" customHeight="1">
      <c r="B127" s="1"/>
      <c r="C127" s="1"/>
    </row>
    <row r="128" spans="2:3" ht="14.25" customHeight="1">
      <c r="B128" s="1"/>
      <c r="C128" s="1"/>
    </row>
    <row r="129" spans="2:3" ht="14.25" customHeight="1">
      <c r="B129" s="1"/>
      <c r="C129" s="1"/>
    </row>
    <row r="130" spans="2:3" ht="14.25" customHeight="1">
      <c r="B130" s="1"/>
      <c r="C130" s="1"/>
    </row>
    <row r="131" spans="2:3" ht="14.25" customHeight="1">
      <c r="B131" s="1"/>
      <c r="C131" s="1"/>
    </row>
    <row r="132" spans="2:3" ht="14.25" customHeight="1">
      <c r="B132" s="1"/>
      <c r="C132" s="1"/>
    </row>
    <row r="133" spans="2:3" ht="14.25" customHeight="1">
      <c r="B133" s="1"/>
      <c r="C133" s="1"/>
    </row>
    <row r="134" spans="2:3" ht="14.25" customHeight="1">
      <c r="B134" s="1"/>
      <c r="C134" s="1"/>
    </row>
    <row r="135" spans="2:3" ht="14.25" customHeight="1">
      <c r="B135" s="1"/>
      <c r="C135" s="1"/>
    </row>
    <row r="136" spans="2:3" ht="14.25" customHeight="1">
      <c r="B136" s="1"/>
      <c r="C136" s="1"/>
    </row>
    <row r="137" spans="2:3" ht="14.25" customHeight="1">
      <c r="B137" s="1"/>
      <c r="C137" s="1"/>
    </row>
    <row r="138" spans="2:3" ht="14.25" customHeight="1">
      <c r="B138" s="1"/>
      <c r="C138" s="1"/>
    </row>
    <row r="139" spans="2:3" ht="14.25" customHeight="1">
      <c r="B139" s="1"/>
      <c r="C139" s="1"/>
    </row>
    <row r="140" spans="2:3" ht="14.25" customHeight="1">
      <c r="B140" s="1"/>
      <c r="C140" s="1"/>
    </row>
    <row r="141" spans="2:3" ht="14.25" customHeight="1">
      <c r="B141" s="1"/>
      <c r="C141" s="1"/>
    </row>
    <row r="142" spans="2:3" ht="14.25" customHeight="1">
      <c r="B142" s="1"/>
      <c r="C142" s="1"/>
    </row>
    <row r="143" spans="2:3" ht="14.25" customHeight="1">
      <c r="B143" s="1"/>
      <c r="C143" s="1"/>
    </row>
    <row r="144" spans="2:3" ht="14.25" customHeight="1">
      <c r="B144" s="1"/>
      <c r="C144" s="1"/>
    </row>
    <row r="145" spans="2:3" ht="14.25" customHeight="1">
      <c r="B145" s="1"/>
      <c r="C145" s="1"/>
    </row>
    <row r="146" spans="2:3" ht="14.25" customHeight="1">
      <c r="B146" s="1"/>
      <c r="C146" s="1"/>
    </row>
    <row r="147" spans="2:3" ht="14.25" customHeight="1">
      <c r="B147" s="1"/>
      <c r="C147" s="1"/>
    </row>
    <row r="148" spans="2:3" ht="14.25" customHeight="1">
      <c r="B148" s="1"/>
      <c r="C148" s="1"/>
    </row>
    <row r="149" spans="2:3" ht="14.25" customHeight="1">
      <c r="B149" s="1"/>
      <c r="C149" s="1"/>
    </row>
    <row r="150" spans="2:3" ht="14.25" customHeight="1">
      <c r="B150" s="1"/>
      <c r="C150" s="1"/>
    </row>
    <row r="151" spans="2:3" ht="14.25" customHeight="1">
      <c r="B151" s="1"/>
      <c r="C151" s="1"/>
    </row>
    <row r="152" spans="2:3" ht="14.25" customHeight="1">
      <c r="B152" s="1"/>
      <c r="C152" s="1"/>
    </row>
    <row r="153" spans="2:3" ht="14.25" customHeight="1">
      <c r="B153" s="1"/>
      <c r="C153" s="1"/>
    </row>
    <row r="154" spans="2:3" ht="14.25" customHeight="1">
      <c r="B154" s="1"/>
      <c r="C154" s="1"/>
    </row>
    <row r="155" spans="2:3" ht="14.25" customHeight="1">
      <c r="B155" s="1"/>
      <c r="C155" s="1"/>
    </row>
    <row r="156" spans="2:3" ht="14.25" customHeight="1">
      <c r="B156" s="1"/>
      <c r="C156" s="1"/>
    </row>
    <row r="157" spans="2:3" ht="14.25" customHeight="1">
      <c r="B157" s="1"/>
      <c r="C157" s="1"/>
    </row>
    <row r="158" spans="2:3" ht="14.25" customHeight="1">
      <c r="B158" s="1"/>
      <c r="C158" s="1"/>
    </row>
    <row r="159" spans="2:3" ht="14.25" customHeight="1">
      <c r="B159" s="1"/>
      <c r="C159" s="1"/>
    </row>
    <row r="160" spans="2:3" ht="14.25" customHeight="1">
      <c r="B160" s="1"/>
      <c r="C160" s="1"/>
    </row>
    <row r="161" spans="2:3" ht="14.25" customHeight="1">
      <c r="B161" s="1"/>
      <c r="C161" s="1"/>
    </row>
    <row r="162" spans="2:3" ht="14.25" customHeight="1">
      <c r="B162" s="1"/>
      <c r="C162" s="1"/>
    </row>
    <row r="163" spans="2:3" ht="14.25" customHeight="1">
      <c r="B163" s="1"/>
      <c r="C163" s="1"/>
    </row>
    <row r="164" spans="2:3" ht="14.25" customHeight="1">
      <c r="B164" s="1"/>
      <c r="C164" s="1"/>
    </row>
    <row r="165" spans="2:3" ht="14.25" customHeight="1">
      <c r="B165" s="1"/>
      <c r="C165" s="1"/>
    </row>
    <row r="166" spans="2:3" ht="14.25" customHeight="1">
      <c r="B166" s="1"/>
      <c r="C166" s="1"/>
    </row>
    <row r="167" spans="2:3" ht="14.25" customHeight="1">
      <c r="B167" s="1"/>
      <c r="C167" s="1"/>
    </row>
    <row r="168" spans="2:3" ht="14.25" customHeight="1">
      <c r="B168" s="1"/>
      <c r="C168" s="1"/>
    </row>
    <row r="169" spans="2:3" ht="14.25" customHeight="1">
      <c r="B169" s="1"/>
      <c r="C169" s="1"/>
    </row>
    <row r="170" spans="2:3" ht="14.25" customHeight="1">
      <c r="B170" s="1"/>
      <c r="C170" s="1"/>
    </row>
    <row r="171" spans="2:3" ht="14.25" customHeight="1">
      <c r="B171" s="1"/>
      <c r="C171" s="1"/>
    </row>
    <row r="172" spans="2:3" ht="14.25" customHeight="1">
      <c r="B172" s="1"/>
      <c r="C172" s="1"/>
    </row>
    <row r="173" spans="2:3" ht="14.25" customHeight="1">
      <c r="B173" s="1"/>
      <c r="C173" s="1"/>
    </row>
    <row r="174" spans="2:3" ht="14.25" customHeight="1">
      <c r="B174" s="1"/>
      <c r="C174" s="1"/>
    </row>
    <row r="175" spans="2:3" ht="14.25" customHeight="1">
      <c r="B175" s="1"/>
      <c r="C175" s="1"/>
    </row>
    <row r="176" spans="2:3" ht="14.25" customHeight="1">
      <c r="B176" s="1"/>
      <c r="C176" s="1"/>
    </row>
    <row r="177" spans="2:3" ht="14.25" customHeight="1">
      <c r="B177" s="1"/>
      <c r="C177" s="1"/>
    </row>
    <row r="178" spans="2:3" ht="14.25" customHeight="1">
      <c r="B178" s="1"/>
      <c r="C178" s="1"/>
    </row>
    <row r="179" spans="2:3" ht="14.25" customHeight="1">
      <c r="B179" s="1"/>
      <c r="C179" s="1"/>
    </row>
    <row r="180" spans="2:3" ht="14.25" customHeight="1">
      <c r="B180" s="1"/>
      <c r="C180" s="1"/>
    </row>
    <row r="181" spans="2:3" ht="14.25" customHeight="1">
      <c r="B181" s="1"/>
      <c r="C181" s="1"/>
    </row>
    <row r="182" spans="2:3" ht="14.25" customHeight="1">
      <c r="B182" s="1"/>
      <c r="C182" s="1"/>
    </row>
    <row r="183" spans="2:3" ht="14.25" customHeight="1">
      <c r="B183" s="1"/>
      <c r="C183" s="1"/>
    </row>
    <row r="184" spans="2:3" ht="14.25" customHeight="1">
      <c r="B184" s="1"/>
      <c r="C184" s="1"/>
    </row>
    <row r="185" spans="2:3" ht="14.25" customHeight="1">
      <c r="B185" s="1"/>
      <c r="C185" s="1"/>
    </row>
    <row r="186" spans="2:3" ht="14.25" customHeight="1">
      <c r="B186" s="1"/>
      <c r="C186" s="1"/>
    </row>
    <row r="187" spans="2:3" ht="14.25" customHeight="1">
      <c r="B187" s="1"/>
      <c r="C187" s="1"/>
    </row>
    <row r="188" spans="2:3" ht="14.25" customHeight="1">
      <c r="B188" s="1"/>
      <c r="C188" s="1"/>
    </row>
    <row r="189" spans="2:3" ht="14.25" customHeight="1">
      <c r="B189" s="1"/>
      <c r="C189" s="1"/>
    </row>
    <row r="190" spans="2:3" ht="14.25" customHeight="1">
      <c r="B190" s="1"/>
      <c r="C190" s="1"/>
    </row>
    <row r="191" spans="2:3" ht="14.25" customHeight="1">
      <c r="B191" s="1"/>
      <c r="C191" s="1"/>
    </row>
    <row r="192" spans="2:3" ht="14.25" customHeight="1">
      <c r="B192" s="1"/>
      <c r="C192" s="1"/>
    </row>
    <row r="193" spans="2:3" ht="14.25" customHeight="1">
      <c r="B193" s="1"/>
      <c r="C193" s="1"/>
    </row>
    <row r="194" spans="2:3" ht="14.25" customHeight="1">
      <c r="B194" s="1"/>
      <c r="C194" s="1"/>
    </row>
    <row r="195" spans="2:3" ht="14.25" customHeight="1">
      <c r="B195" s="1"/>
      <c r="C195" s="1"/>
    </row>
    <row r="196" spans="2:3" ht="14.25" customHeight="1">
      <c r="B196" s="1"/>
      <c r="C196" s="1"/>
    </row>
    <row r="197" spans="2:3" ht="14.25" customHeight="1">
      <c r="B197" s="1"/>
      <c r="C197" s="1"/>
    </row>
    <row r="198" spans="2:3" ht="14.25" customHeight="1"/>
    <row r="199" spans="2:3" ht="14.25" customHeight="1"/>
    <row r="200" spans="2:3" ht="14.25" customHeight="1"/>
    <row r="201" spans="2:3" ht="14.25" customHeight="1"/>
    <row r="202" spans="2:3" ht="14.25" customHeight="1"/>
    <row r="203" spans="2:3" ht="14.25" customHeight="1"/>
    <row r="204" spans="2:3" ht="14.25" customHeight="1"/>
    <row r="205" spans="2:3" ht="14.25" customHeight="1"/>
    <row r="206" spans="2:3" ht="14.25" customHeight="1"/>
    <row r="207" spans="2:3" ht="14.25" customHeight="1"/>
    <row r="208" spans="2: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7171-62F5-46B3-84CB-250A5D1AEFCB}">
  <dimension ref="A3:B13"/>
  <sheetViews>
    <sheetView tabSelected="1" workbookViewId="0">
      <selection activeCell="B27" sqref="B27"/>
    </sheetView>
  </sheetViews>
  <sheetFormatPr defaultRowHeight="13.8"/>
  <cols>
    <col min="1" max="1" width="28.69921875" bestFit="1" customWidth="1"/>
    <col min="2" max="2" width="29.8984375" bestFit="1" customWidth="1"/>
  </cols>
  <sheetData>
    <row r="3" spans="1:2">
      <c r="A3" s="17" t="s">
        <v>358</v>
      </c>
      <c r="B3" t="s">
        <v>361</v>
      </c>
    </row>
    <row r="4" spans="1:2">
      <c r="A4" s="18" t="s">
        <v>39</v>
      </c>
      <c r="B4" s="19">
        <v>25</v>
      </c>
    </row>
    <row r="5" spans="1:2">
      <c r="A5" s="18" t="s">
        <v>37</v>
      </c>
      <c r="B5" s="19">
        <v>13</v>
      </c>
    </row>
    <row r="6" spans="1:2">
      <c r="A6" s="18" t="s">
        <v>56</v>
      </c>
      <c r="B6" s="19">
        <v>4</v>
      </c>
    </row>
    <row r="7" spans="1:2">
      <c r="A7" s="18" t="s">
        <v>45</v>
      </c>
      <c r="B7" s="19">
        <v>12</v>
      </c>
    </row>
    <row r="8" spans="1:2">
      <c r="A8" s="18" t="s">
        <v>76</v>
      </c>
      <c r="B8" s="19">
        <v>2</v>
      </c>
    </row>
    <row r="9" spans="1:2">
      <c r="A9" s="18" t="s">
        <v>60</v>
      </c>
      <c r="B9" s="19">
        <v>5</v>
      </c>
    </row>
    <row r="10" spans="1:2">
      <c r="A10" s="18" t="s">
        <v>359</v>
      </c>
      <c r="B10" s="19"/>
    </row>
    <row r="11" spans="1:2">
      <c r="A11" s="18" t="s">
        <v>360</v>
      </c>
      <c r="B11" s="19">
        <v>61</v>
      </c>
    </row>
    <row r="13" spans="1:2">
      <c r="B13" t="str">
        <f>INDEX(A4:A9,MATCH(MAX(B4:B9),B4:B9,0),1)</f>
        <v>за власним бажанням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Main</vt:lpstr>
      <vt:lpstr>Відділи</vt:lpstr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Andriy Chyzh</dc:creator>
  <cp:lastModifiedBy>Lenovo</cp:lastModifiedBy>
  <dcterms:created xsi:type="dcterms:W3CDTF">2024-03-03T11:20:31Z</dcterms:created>
  <dcterms:modified xsi:type="dcterms:W3CDTF">2026-08-10T19:11:39Z</dcterms:modified>
</cp:coreProperties>
</file>